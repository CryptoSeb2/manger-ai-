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/>
  <xr:revisionPtr revIDLastSave="32" documentId="11_EFE7ABD3963883654B37995B0A808931D9094904" xr6:coauthVersionLast="47" xr6:coauthVersionMax="47" xr10:uidLastSave="{9EF9DA46-3E50-4C8E-AFCB-2553D0748AFA}"/>
  <bookViews>
    <workbookView xWindow="-10605" yWindow="-21720" windowWidth="51840" windowHeight="21240" tabRatio="810" xr2:uid="{00000000-000D-0000-FFFF-FFFF00000000}"/>
  </bookViews>
  <sheets>
    <sheet name="Content" sheetId="1" r:id="rId1"/>
    <sheet name="SUM_RAW" sheetId="11" r:id="rId2"/>
    <sheet name="SUM_SOLVED" sheetId="13" r:id="rId3"/>
    <sheet name="COUNT_RAW" sheetId="14" r:id="rId4"/>
    <sheet name="COUNT_SOLVED" sheetId="15" r:id="rId5"/>
    <sheet name="COUNTA_RAW" sheetId="16" r:id="rId6"/>
    <sheet name="COUNTA_SOLVED" sheetId="17" r:id="rId7"/>
    <sheet name="AVERAGE_RAW" sheetId="20" r:id="rId8"/>
    <sheet name="MIN MAX" sheetId="2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3" l="1"/>
  <c r="C25" i="17"/>
  <c r="C22" i="17"/>
  <c r="C19" i="17"/>
  <c r="C16" i="17"/>
  <c r="F21" i="15"/>
  <c r="F19" i="15"/>
  <c r="F17" i="15"/>
  <c r="F15" i="15"/>
  <c r="B12" i="13"/>
  <c r="B11" i="13"/>
  <c r="B10" i="13"/>
  <c r="B9" i="13"/>
  <c r="B8" i="13"/>
  <c r="B12" i="11"/>
  <c r="B11" i="11"/>
  <c r="B10" i="11"/>
  <c r="B9" i="11"/>
  <c r="B8" i="11"/>
</calcChain>
</file>

<file path=xl/sharedStrings.xml><?xml version="1.0" encoding="utf-8"?>
<sst xmlns="http://schemas.openxmlformats.org/spreadsheetml/2006/main" count="143" uniqueCount="65">
  <si>
    <t>Adding Basic Formulas and Functions</t>
  </si>
  <si>
    <t>Formula Training1</t>
  </si>
  <si>
    <t>Year</t>
  </si>
  <si>
    <t>Date</t>
  </si>
  <si>
    <t>Value</t>
  </si>
  <si>
    <t>Result</t>
  </si>
  <si>
    <t>Adds all numbers in a range of cells based on one criteria</t>
  </si>
  <si>
    <t>Counts the number of cells that contain numbers as well as the number of arguments that contain numbers</t>
  </si>
  <si>
    <t>Counts the number of cells that are not empty as well as the number of value arguments provided</t>
  </si>
  <si>
    <t>COUNT </t>
  </si>
  <si>
    <t>COUNTA </t>
  </si>
  <si>
    <t>COUNT( argument1, [argument2, ... argument_n] )</t>
  </si>
  <si>
    <t>www.eada.edu</t>
  </si>
  <si>
    <t>Xavier Hernanz</t>
  </si>
  <si>
    <t>Indicate the result for each formula</t>
  </si>
  <si>
    <t>=COUNT(B6:B10)</t>
  </si>
  <si>
    <t>=COUNT(B6:B10;129)</t>
  </si>
  <si>
    <t>=COUNT(B6:B10;129;"eada")</t>
  </si>
  <si>
    <t>=COUNT(B6:B10;129; "eada"; -2)</t>
  </si>
  <si>
    <t>Last Name</t>
  </si>
  <si>
    <t>First Name</t>
  </si>
  <si>
    <t>Math</t>
  </si>
  <si>
    <t>Biology</t>
  </si>
  <si>
    <t>Chemistry</t>
  </si>
  <si>
    <t>Jackson</t>
  </si>
  <si>
    <t>Joe</t>
  </si>
  <si>
    <t>A+</t>
  </si>
  <si>
    <t>B</t>
  </si>
  <si>
    <t>Smith</t>
  </si>
  <si>
    <t>Jane</t>
  </si>
  <si>
    <t>A-</t>
  </si>
  <si>
    <t>Ferguson</t>
  </si>
  <si>
    <t>Samantha</t>
  </si>
  <si>
    <t>C</t>
  </si>
  <si>
    <t>Reynolds</t>
  </si>
  <si>
    <t>Allen</t>
  </si>
  <si>
    <t>Anderson</t>
  </si>
  <si>
    <t>Paige</t>
  </si>
  <si>
    <t>Johnson</t>
  </si>
  <si>
    <t>Derek</t>
  </si>
  <si>
    <t>A</t>
  </si>
  <si>
    <t>COUNTA( argument1, [argument2, ... argument_n] )</t>
  </si>
  <si>
    <t>Number of students with a grade in Math</t>
  </si>
  <si>
    <t>Number of students with a grade in Biology</t>
  </si>
  <si>
    <t>Number of students with a grade in Chemistry</t>
  </si>
  <si>
    <t>Number of students with a grade in Math + Jason + Chris</t>
  </si>
  <si>
    <t>Returns the average of the numbers provided</t>
  </si>
  <si>
    <t>AVERAGE</t>
  </si>
  <si>
    <t>AVERAGE( number1, [number2], ... [number_n] )</t>
  </si>
  <si>
    <t>Average of all values</t>
  </si>
  <si>
    <t>Average of the first and the last  values</t>
  </si>
  <si>
    <t>MIN</t>
  </si>
  <si>
    <t>MAX</t>
  </si>
  <si>
    <t>Returns the smallest value from the numbers provided</t>
  </si>
  <si>
    <t>MIN( number1, [number2, ... number_n] )</t>
  </si>
  <si>
    <t>MAX( number1, [number2, ... number_n] )</t>
  </si>
  <si>
    <t>Returns the biggest value from the numbers provided</t>
  </si>
  <si>
    <t>MIN, MAX</t>
  </si>
  <si>
    <t>SUM</t>
  </si>
  <si>
    <t>COUNT</t>
  </si>
  <si>
    <t xml:space="preserve">Adds all numbers in a range of cells </t>
  </si>
  <si>
    <t>SUM(number1,number2,... )</t>
  </si>
  <si>
    <t>Add all Values</t>
  </si>
  <si>
    <t>Find the Maximum value of the range</t>
  </si>
  <si>
    <t>Find the Minimum value of the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</si>
</sst>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rgb="FF333333"/>
      <name val="Consolas"/>
      <family val="3"/>
    </font>
    <font>
      <sz val="11"/>
      <color rgb="FF333333"/>
      <name val="Consolas"/>
      <family val="3"/>
    </font>
    <font>
      <b/>
      <sz val="16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4" fillId="2" borderId="0" xfId="0" applyFont="1" applyFill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0" fillId="0" borderId="0" xfId="0" applyFill="1"/>
    <xf numFmtId="0" fontId="0" fillId="3" borderId="0" xfId="0" applyFill="1"/>
    <xf numFmtId="0" fontId="0" fillId="0" borderId="2" xfId="0" applyBorder="1"/>
    <xf numFmtId="0" fontId="8" fillId="0" borderId="0" xfId="0" applyFont="1"/>
    <xf numFmtId="0" fontId="8" fillId="4" borderId="3" xfId="0" applyFont="1" applyFill="1" applyBorder="1" applyAlignment="1">
      <alignment vertical="center"/>
    </xf>
    <xf numFmtId="0" fontId="9" fillId="0" borderId="0" xfId="0" applyFont="1"/>
    <xf numFmtId="0" fontId="7" fillId="0" borderId="0" xfId="0" applyFont="1" applyFill="1"/>
    <xf numFmtId="0" fontId="8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3" fillId="3" borderId="0" xfId="1" applyFill="1"/>
    <xf numFmtId="49" fontId="0" fillId="0" borderId="0" xfId="0" applyNumberFormat="1"/>
    <xf numFmtId="49" fontId="5" fillId="0" borderId="1" xfId="0" applyNumberFormat="1" applyFont="1" applyBorder="1" applyAlignment="1">
      <alignment vertical="center"/>
    </xf>
    <xf numFmtId="49" fontId="10" fillId="0" borderId="0" xfId="0" applyNumberFormat="1" applyFont="1"/>
    <xf numFmtId="0" fontId="10" fillId="0" borderId="0" xfId="0" applyFont="1"/>
    <xf numFmtId="0" fontId="0" fillId="0" borderId="0" xfId="0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49" fontId="5" fillId="0" borderId="0" xfId="0" applyNumberFormat="1" applyFont="1" applyFill="1" applyBorder="1" applyAlignment="1">
      <alignment vertical="center"/>
    </xf>
    <xf numFmtId="0" fontId="4" fillId="0" borderId="0" xfId="0" applyFont="1" applyFill="1" applyBorder="1"/>
    <xf numFmtId="0" fontId="10" fillId="0" borderId="0" xfId="0" applyFont="1" applyFill="1" applyBorder="1"/>
    <xf numFmtId="49" fontId="0" fillId="0" borderId="0" xfId="0" applyNumberFormat="1" applyFill="1" applyBorder="1"/>
    <xf numFmtId="0" fontId="8" fillId="4" borderId="3" xfId="0" applyFont="1" applyFill="1" applyBorder="1" applyAlignment="1">
      <alignment horizontal="left" vertical="center" indent="1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5" fillId="0" borderId="0" xfId="0" applyFont="1" applyFill="1" applyBorder="1" applyAlignment="1">
      <alignment vertical="center"/>
    </xf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615DD-C186-4CE9-A083-0514AA88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81026"/>
          <a:ext cx="4600575" cy="17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ada.ed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ada.edu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2"/>
  <sheetViews>
    <sheetView showGridLines="0" showRowColHeaders="0" tabSelected="1" workbookViewId="0">
      <selection activeCell="B45" sqref="B45"/>
    </sheetView>
  </sheetViews>
  <sheetFormatPr defaultColWidth="9" defaultRowHeight="14.5" x14ac:dyDescent="0.35"/>
  <cols>
    <col min="2" max="2" width="57.81640625" style="1" customWidth="1"/>
    <col min="3" max="3" width="10" customWidth="1"/>
    <col min="4" max="4" width="9.453125" customWidth="1"/>
  </cols>
  <sheetData>
    <row r="3" spans="2:2" ht="26" x14ac:dyDescent="0.6">
      <c r="B3" s="3" t="s">
        <v>0</v>
      </c>
    </row>
    <row r="16" spans="2:2" ht="21" x14ac:dyDescent="0.5">
      <c r="B16" s="39" t="s">
        <v>1</v>
      </c>
    </row>
    <row r="17" spans="2:2" ht="21" x14ac:dyDescent="0.5">
      <c r="B17" s="2" t="s">
        <v>58</v>
      </c>
    </row>
    <row r="18" spans="2:2" ht="21" x14ac:dyDescent="0.5">
      <c r="B18" s="2" t="s">
        <v>59</v>
      </c>
    </row>
    <row r="19" spans="2:2" ht="21" x14ac:dyDescent="0.5">
      <c r="B19" s="2" t="s">
        <v>47</v>
      </c>
    </row>
    <row r="20" spans="2:2" ht="21" x14ac:dyDescent="0.5">
      <c r="B20" s="2" t="s">
        <v>57</v>
      </c>
    </row>
    <row r="21" spans="2:2" ht="21" x14ac:dyDescent="0.5">
      <c r="B21" s="2"/>
    </row>
    <row r="22" spans="2:2" ht="21" x14ac:dyDescent="0.5">
      <c r="B22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7"/>
  <sheetViews>
    <sheetView zoomScale="145" zoomScaleNormal="145" workbookViewId="0">
      <selection activeCell="B2" sqref="B2:B3"/>
    </sheetView>
  </sheetViews>
  <sheetFormatPr defaultColWidth="11" defaultRowHeight="14.5" x14ac:dyDescent="0.35"/>
  <sheetData>
    <row r="2" spans="2:4" ht="21.5" thickBot="1" x14ac:dyDescent="0.55000000000000004">
      <c r="B2" s="9" t="s">
        <v>58</v>
      </c>
      <c r="C2" s="15" t="s">
        <v>60</v>
      </c>
    </row>
    <row r="3" spans="2:4" ht="15" thickBot="1" x14ac:dyDescent="0.4">
      <c r="B3" s="8" t="s">
        <v>61</v>
      </c>
    </row>
    <row r="7" spans="2:4" x14ac:dyDescent="0.35">
      <c r="B7" s="6" t="s">
        <v>2</v>
      </c>
      <c r="C7" s="6" t="s">
        <v>3</v>
      </c>
      <c r="D7" s="6" t="s">
        <v>4</v>
      </c>
    </row>
    <row r="8" spans="2:4" x14ac:dyDescent="0.35">
      <c r="B8" s="4">
        <f>YEAR(C8)</f>
        <v>2000</v>
      </c>
      <c r="C8" s="5">
        <v>36739</v>
      </c>
      <c r="D8">
        <v>10.5</v>
      </c>
    </row>
    <row r="9" spans="2:4" x14ac:dyDescent="0.35">
      <c r="B9" s="4">
        <f>YEAR(C9)</f>
        <v>2003</v>
      </c>
      <c r="C9" s="5">
        <v>37753</v>
      </c>
      <c r="D9">
        <v>7.2</v>
      </c>
    </row>
    <row r="10" spans="2:4" x14ac:dyDescent="0.35">
      <c r="B10" s="4">
        <f>YEAR(C10)</f>
        <v>2000</v>
      </c>
      <c r="C10" s="5">
        <v>36597</v>
      </c>
      <c r="D10">
        <v>200</v>
      </c>
    </row>
    <row r="11" spans="2:4" x14ac:dyDescent="0.35">
      <c r="B11" s="4">
        <f>YEAR(C11)</f>
        <v>2001</v>
      </c>
      <c r="C11" s="5">
        <v>37102</v>
      </c>
      <c r="D11">
        <v>5.4</v>
      </c>
    </row>
    <row r="12" spans="2:4" x14ac:dyDescent="0.35">
      <c r="B12" s="4">
        <f>YEAR(C12)</f>
        <v>2000</v>
      </c>
      <c r="C12" s="5">
        <v>36584</v>
      </c>
      <c r="D12">
        <v>8.1</v>
      </c>
    </row>
    <row r="14" spans="2:4" ht="15" thickBot="1" x14ac:dyDescent="0.4"/>
    <row r="15" spans="2:4" ht="15" thickBot="1" x14ac:dyDescent="0.4">
      <c r="B15" s="7" t="s">
        <v>62</v>
      </c>
    </row>
    <row r="16" spans="2:4" ht="15.5" thickTop="1" thickBot="1" x14ac:dyDescent="0.4">
      <c r="B16" s="6" t="s">
        <v>5</v>
      </c>
      <c r="C16" s="12"/>
    </row>
    <row r="17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7"/>
  <sheetViews>
    <sheetView zoomScale="145" zoomScaleNormal="145" workbookViewId="0">
      <selection activeCell="F26" sqref="F26"/>
    </sheetView>
  </sheetViews>
  <sheetFormatPr defaultColWidth="11" defaultRowHeight="14.5" x14ac:dyDescent="0.35"/>
  <sheetData>
    <row r="2" spans="2:4" ht="21.5" thickBot="1" x14ac:dyDescent="0.55000000000000004">
      <c r="B2" s="9" t="s">
        <v>58</v>
      </c>
      <c r="C2" s="13" t="s">
        <v>6</v>
      </c>
    </row>
    <row r="3" spans="2:4" ht="15" thickBot="1" x14ac:dyDescent="0.4">
      <c r="B3" s="8" t="s">
        <v>61</v>
      </c>
    </row>
    <row r="7" spans="2:4" x14ac:dyDescent="0.35">
      <c r="B7" s="6" t="s">
        <v>2</v>
      </c>
      <c r="C7" s="6" t="s">
        <v>3</v>
      </c>
      <c r="D7" s="6" t="s">
        <v>4</v>
      </c>
    </row>
    <row r="8" spans="2:4" x14ac:dyDescent="0.35">
      <c r="B8" s="4">
        <f>YEAR(C8)</f>
        <v>2000</v>
      </c>
      <c r="C8" s="5">
        <v>36739</v>
      </c>
      <c r="D8">
        <v>10.5</v>
      </c>
    </row>
    <row r="9" spans="2:4" x14ac:dyDescent="0.35">
      <c r="B9" s="4">
        <f>YEAR(C9)</f>
        <v>2003</v>
      </c>
      <c r="C9" s="5">
        <v>37753</v>
      </c>
      <c r="D9">
        <v>7.2</v>
      </c>
    </row>
    <row r="10" spans="2:4" x14ac:dyDescent="0.35">
      <c r="B10" s="4">
        <f>YEAR(C10)</f>
        <v>2000</v>
      </c>
      <c r="C10" s="5">
        <v>36597</v>
      </c>
      <c r="D10">
        <v>200</v>
      </c>
    </row>
    <row r="11" spans="2:4" x14ac:dyDescent="0.35">
      <c r="B11" s="4">
        <f>YEAR(C11)</f>
        <v>2001</v>
      </c>
      <c r="C11" s="5">
        <v>37102</v>
      </c>
      <c r="D11">
        <v>5.4</v>
      </c>
    </row>
    <row r="12" spans="2:4" x14ac:dyDescent="0.35">
      <c r="B12" s="4">
        <f>YEAR(C12)</f>
        <v>2000</v>
      </c>
      <c r="C12" s="5">
        <v>36584</v>
      </c>
      <c r="D12">
        <v>8.1</v>
      </c>
    </row>
    <row r="14" spans="2:4" ht="15" thickBot="1" x14ac:dyDescent="0.4"/>
    <row r="15" spans="2:4" ht="15" thickBot="1" x14ac:dyDescent="0.4">
      <c r="B15" s="7" t="s">
        <v>62</v>
      </c>
    </row>
    <row r="16" spans="2:4" ht="15.5" thickTop="1" thickBot="1" x14ac:dyDescent="0.4">
      <c r="B16" s="6" t="s">
        <v>5</v>
      </c>
      <c r="C16" s="12">
        <f>SUM(D8:D12)</f>
        <v>231.2</v>
      </c>
    </row>
    <row r="17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62"/>
  <sheetViews>
    <sheetView zoomScale="145" zoomScaleNormal="145" workbookViewId="0">
      <selection activeCell="C3" sqref="C3"/>
    </sheetView>
  </sheetViews>
  <sheetFormatPr defaultColWidth="11" defaultRowHeight="14.5" x14ac:dyDescent="0.35"/>
  <cols>
    <col min="2" max="2" width="12.453125" customWidth="1"/>
    <col min="9" max="9" width="18.7265625" customWidth="1"/>
  </cols>
  <sheetData>
    <row r="1" spans="2:16" x14ac:dyDescent="0.35">
      <c r="B1" s="10"/>
      <c r="C1" s="10"/>
      <c r="D1" s="10"/>
    </row>
    <row r="2" spans="2:16" ht="21.5" thickBot="1" x14ac:dyDescent="0.55000000000000004">
      <c r="B2" s="16" t="s">
        <v>9</v>
      </c>
      <c r="C2" s="17" t="s">
        <v>7</v>
      </c>
      <c r="D2" s="10"/>
    </row>
    <row r="3" spans="2:16" ht="15" thickBot="1" x14ac:dyDescent="0.4">
      <c r="B3" s="18" t="s">
        <v>11</v>
      </c>
      <c r="C3" s="10"/>
      <c r="D3" s="10"/>
      <c r="I3" s="24"/>
      <c r="J3" s="24"/>
      <c r="K3" s="24"/>
      <c r="L3" s="24"/>
      <c r="M3" s="24"/>
      <c r="N3" s="24"/>
      <c r="O3" s="24"/>
      <c r="P3" s="24"/>
    </row>
    <row r="4" spans="2:16" x14ac:dyDescent="0.35">
      <c r="B4" s="10"/>
      <c r="C4" s="10"/>
      <c r="D4" s="10"/>
      <c r="I4" s="24"/>
      <c r="J4" s="24"/>
      <c r="K4" s="24"/>
      <c r="L4" s="24"/>
      <c r="M4" s="24"/>
      <c r="N4" s="24"/>
      <c r="O4" s="24"/>
      <c r="P4" s="24"/>
    </row>
    <row r="5" spans="2:16" ht="21" x14ac:dyDescent="0.5">
      <c r="B5" s="10"/>
      <c r="C5" s="10"/>
      <c r="D5" s="10"/>
      <c r="I5" s="24"/>
      <c r="J5" s="25"/>
      <c r="K5" s="26"/>
      <c r="L5" s="24"/>
      <c r="M5" s="24"/>
      <c r="N5" s="24"/>
      <c r="O5" s="24"/>
      <c r="P5" s="24"/>
    </row>
    <row r="6" spans="2:16" ht="16" customHeight="1" x14ac:dyDescent="0.5">
      <c r="B6" s="19" t="s">
        <v>12</v>
      </c>
      <c r="C6" s="11"/>
      <c r="D6" s="10"/>
      <c r="I6" s="24"/>
      <c r="J6" s="25"/>
      <c r="K6" s="26"/>
      <c r="L6" s="24"/>
      <c r="M6" s="24"/>
      <c r="N6" s="24"/>
      <c r="O6" s="24"/>
      <c r="P6" s="24"/>
    </row>
    <row r="7" spans="2:16" ht="16" customHeight="1" x14ac:dyDescent="0.5">
      <c r="B7" s="11">
        <v>23</v>
      </c>
      <c r="C7" s="11"/>
      <c r="I7" s="24"/>
      <c r="J7" s="25"/>
      <c r="K7" s="26"/>
      <c r="L7" s="24"/>
      <c r="M7" s="24"/>
      <c r="N7" s="24"/>
      <c r="O7" s="24"/>
      <c r="P7" s="24"/>
    </row>
    <row r="8" spans="2:16" x14ac:dyDescent="0.35">
      <c r="B8" s="11" t="s">
        <v>13</v>
      </c>
      <c r="C8" s="11"/>
      <c r="I8" s="24"/>
      <c r="J8" s="24"/>
      <c r="K8" s="24"/>
      <c r="L8" s="24"/>
      <c r="M8" s="24"/>
      <c r="N8" s="24"/>
      <c r="O8" s="24"/>
      <c r="P8" s="24"/>
    </row>
    <row r="9" spans="2:16" x14ac:dyDescent="0.35">
      <c r="B9" s="11">
        <v>-4</v>
      </c>
      <c r="C9" s="11"/>
      <c r="I9" s="24"/>
      <c r="J9" s="24"/>
      <c r="K9" s="24"/>
      <c r="L9" s="24"/>
      <c r="M9" s="24"/>
      <c r="N9" s="24"/>
      <c r="O9" s="24"/>
      <c r="P9" s="24"/>
    </row>
    <row r="10" spans="2:16" ht="19" customHeight="1" x14ac:dyDescent="0.5">
      <c r="B10" s="11">
        <v>7.4</v>
      </c>
      <c r="C10" s="11"/>
      <c r="I10" s="25"/>
      <c r="J10" s="24"/>
      <c r="K10" s="24"/>
      <c r="L10" s="24"/>
      <c r="M10" s="24"/>
      <c r="N10" s="24"/>
      <c r="O10" s="24"/>
      <c r="P10" s="24"/>
    </row>
    <row r="11" spans="2:16" x14ac:dyDescent="0.35">
      <c r="I11" s="24"/>
      <c r="J11" s="24"/>
      <c r="K11" s="24"/>
      <c r="L11" s="24"/>
      <c r="M11" s="24"/>
      <c r="N11" s="24"/>
      <c r="O11" s="24"/>
      <c r="P11" s="24"/>
    </row>
    <row r="12" spans="2:16" ht="15" thickBot="1" x14ac:dyDescent="0.4">
      <c r="I12" s="24"/>
      <c r="J12" s="24"/>
      <c r="K12" s="24"/>
      <c r="L12" s="24"/>
      <c r="M12" s="24"/>
      <c r="N12" s="24"/>
      <c r="O12" s="24"/>
      <c r="P12" s="24"/>
    </row>
    <row r="13" spans="2:16" ht="15" thickBot="1" x14ac:dyDescent="0.4">
      <c r="B13" s="7" t="s">
        <v>14</v>
      </c>
      <c r="I13" s="24"/>
      <c r="J13" s="24"/>
      <c r="K13" s="24"/>
      <c r="L13" s="24"/>
      <c r="M13" s="24"/>
      <c r="N13" s="24"/>
      <c r="O13" s="24"/>
      <c r="P13" s="24"/>
    </row>
    <row r="14" spans="2:16" ht="15" thickBot="1" x14ac:dyDescent="0.4">
      <c r="B14" s="20"/>
    </row>
    <row r="15" spans="2:16" ht="15.5" thickTop="1" thickBot="1" x14ac:dyDescent="0.4">
      <c r="B15" s="21" t="s">
        <v>15</v>
      </c>
      <c r="E15" s="6" t="s">
        <v>5</v>
      </c>
      <c r="F15" s="12"/>
    </row>
    <row r="16" spans="2:16" ht="15" thickBot="1" x14ac:dyDescent="0.4">
      <c r="B16" s="22"/>
    </row>
    <row r="17" spans="2:6" ht="15.5" thickTop="1" thickBot="1" x14ac:dyDescent="0.4">
      <c r="B17" s="21" t="s">
        <v>16</v>
      </c>
      <c r="E17" s="6" t="s">
        <v>5</v>
      </c>
      <c r="F17" s="12"/>
    </row>
    <row r="18" spans="2:6" ht="15" thickBot="1" x14ac:dyDescent="0.4">
      <c r="B18" s="23"/>
    </row>
    <row r="19" spans="2:6" ht="15.5" thickTop="1" thickBot="1" x14ac:dyDescent="0.4">
      <c r="B19" s="21" t="s">
        <v>17</v>
      </c>
      <c r="E19" s="6" t="s">
        <v>5</v>
      </c>
      <c r="F19" s="12"/>
    </row>
    <row r="20" spans="2:6" ht="15" thickBot="1" x14ac:dyDescent="0.4">
      <c r="B20" s="22"/>
    </row>
    <row r="21" spans="2:6" ht="15.5" thickTop="1" thickBot="1" x14ac:dyDescent="0.4">
      <c r="B21" s="21" t="s">
        <v>18</v>
      </c>
      <c r="E21" s="6" t="s">
        <v>5</v>
      </c>
      <c r="F21" s="12"/>
    </row>
    <row r="22" spans="2:6" x14ac:dyDescent="0.35">
      <c r="B22" s="20"/>
    </row>
    <row r="23" spans="2:6" x14ac:dyDescent="0.35">
      <c r="B23" s="20"/>
    </row>
    <row r="24" spans="2:6" x14ac:dyDescent="0.35">
      <c r="B24" s="20"/>
    </row>
    <row r="25" spans="2:6" x14ac:dyDescent="0.35">
      <c r="B25" s="20"/>
    </row>
    <row r="26" spans="2:6" x14ac:dyDescent="0.35">
      <c r="B26" s="20"/>
    </row>
    <row r="27" spans="2:6" x14ac:dyDescent="0.35">
      <c r="B27" s="20"/>
    </row>
    <row r="28" spans="2:6" x14ac:dyDescent="0.35">
      <c r="B28" s="20"/>
    </row>
    <row r="29" spans="2:6" x14ac:dyDescent="0.35">
      <c r="B29" s="20"/>
    </row>
    <row r="30" spans="2:6" x14ac:dyDescent="0.35">
      <c r="B30" s="20"/>
    </row>
    <row r="31" spans="2:6" x14ac:dyDescent="0.35">
      <c r="B31" s="20"/>
    </row>
    <row r="32" spans="2:6" x14ac:dyDescent="0.35">
      <c r="B32" s="20"/>
    </row>
    <row r="33" spans="2:2" x14ac:dyDescent="0.35">
      <c r="B33" s="20"/>
    </row>
    <row r="34" spans="2:2" x14ac:dyDescent="0.35">
      <c r="B34" s="20"/>
    </row>
    <row r="35" spans="2:2" x14ac:dyDescent="0.35">
      <c r="B35" s="20"/>
    </row>
    <row r="36" spans="2:2" x14ac:dyDescent="0.35">
      <c r="B36" s="20"/>
    </row>
    <row r="37" spans="2:2" x14ac:dyDescent="0.35">
      <c r="B37" s="20"/>
    </row>
    <row r="38" spans="2:2" x14ac:dyDescent="0.35">
      <c r="B38" s="20"/>
    </row>
    <row r="39" spans="2:2" x14ac:dyDescent="0.35">
      <c r="B39" s="20"/>
    </row>
    <row r="40" spans="2:2" x14ac:dyDescent="0.35">
      <c r="B40" s="20"/>
    </row>
    <row r="41" spans="2:2" x14ac:dyDescent="0.35">
      <c r="B41" s="20"/>
    </row>
    <row r="42" spans="2:2" x14ac:dyDescent="0.35">
      <c r="B42" s="20"/>
    </row>
    <row r="43" spans="2:2" x14ac:dyDescent="0.35">
      <c r="B43" s="20"/>
    </row>
    <row r="44" spans="2:2" x14ac:dyDescent="0.35">
      <c r="B44" s="20"/>
    </row>
    <row r="45" spans="2:2" x14ac:dyDescent="0.35">
      <c r="B45" s="20"/>
    </row>
    <row r="46" spans="2:2" x14ac:dyDescent="0.35">
      <c r="B46" s="20"/>
    </row>
    <row r="47" spans="2:2" x14ac:dyDescent="0.35">
      <c r="B47" s="20"/>
    </row>
    <row r="48" spans="2:2" x14ac:dyDescent="0.35">
      <c r="B48" s="20"/>
    </row>
    <row r="49" spans="2:2" x14ac:dyDescent="0.35">
      <c r="B49" s="20"/>
    </row>
    <row r="50" spans="2:2" x14ac:dyDescent="0.35">
      <c r="B50" s="20"/>
    </row>
    <row r="51" spans="2:2" x14ac:dyDescent="0.35">
      <c r="B51" s="20"/>
    </row>
    <row r="52" spans="2:2" x14ac:dyDescent="0.35">
      <c r="B52" s="20"/>
    </row>
    <row r="53" spans="2:2" x14ac:dyDescent="0.35">
      <c r="B53" s="20"/>
    </row>
    <row r="54" spans="2:2" x14ac:dyDescent="0.35">
      <c r="B54" s="20"/>
    </row>
    <row r="55" spans="2:2" x14ac:dyDescent="0.35">
      <c r="B55" s="20"/>
    </row>
    <row r="56" spans="2:2" x14ac:dyDescent="0.35">
      <c r="B56" s="20"/>
    </row>
    <row r="57" spans="2:2" x14ac:dyDescent="0.35">
      <c r="B57" s="20"/>
    </row>
    <row r="58" spans="2:2" x14ac:dyDescent="0.35">
      <c r="B58" s="20"/>
    </row>
    <row r="59" spans="2:2" x14ac:dyDescent="0.35">
      <c r="B59" s="20"/>
    </row>
    <row r="60" spans="2:2" x14ac:dyDescent="0.35">
      <c r="B60" s="20"/>
    </row>
    <row r="61" spans="2:2" x14ac:dyDescent="0.35">
      <c r="B61" s="20"/>
    </row>
    <row r="62" spans="2:2" x14ac:dyDescent="0.35">
      <c r="B62" s="20"/>
    </row>
  </sheetData>
  <hyperlinks>
    <hyperlink ref="B6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62"/>
  <sheetViews>
    <sheetView zoomScale="145" zoomScaleNormal="145" workbookViewId="0">
      <selection activeCell="I21" sqref="I21"/>
    </sheetView>
  </sheetViews>
  <sheetFormatPr defaultColWidth="11" defaultRowHeight="14.5" x14ac:dyDescent="0.35"/>
  <cols>
    <col min="2" max="2" width="12.453125" customWidth="1"/>
    <col min="6" max="6" width="11.1796875" bestFit="1" customWidth="1"/>
    <col min="9" max="9" width="18.7265625" customWidth="1"/>
  </cols>
  <sheetData>
    <row r="1" spans="2:13" x14ac:dyDescent="0.35">
      <c r="B1" s="10"/>
      <c r="C1" s="10"/>
      <c r="D1" s="10"/>
    </row>
    <row r="2" spans="2:13" ht="21.5" thickBot="1" x14ac:dyDescent="0.55000000000000004">
      <c r="B2" s="16" t="s">
        <v>9</v>
      </c>
      <c r="C2" s="17" t="s">
        <v>7</v>
      </c>
      <c r="D2" s="10"/>
    </row>
    <row r="3" spans="2:13" ht="15" thickBot="1" x14ac:dyDescent="0.4">
      <c r="B3" s="18" t="s">
        <v>11</v>
      </c>
      <c r="C3" s="10"/>
      <c r="D3" s="10"/>
    </row>
    <row r="4" spans="2:13" x14ac:dyDescent="0.35">
      <c r="B4" s="10"/>
      <c r="C4" s="10"/>
      <c r="D4" s="10"/>
      <c r="I4" s="24"/>
      <c r="J4" s="24"/>
      <c r="K4" s="24"/>
      <c r="L4" s="24"/>
      <c r="M4" s="24"/>
    </row>
    <row r="5" spans="2:13" ht="21" x14ac:dyDescent="0.5">
      <c r="B5" s="10"/>
      <c r="C5" s="10"/>
      <c r="D5" s="10"/>
      <c r="I5" s="24"/>
      <c r="J5" s="25"/>
      <c r="K5" s="26"/>
      <c r="L5" s="24"/>
      <c r="M5" s="24"/>
    </row>
    <row r="6" spans="2:13" ht="21" x14ac:dyDescent="0.5">
      <c r="B6" s="19" t="s">
        <v>12</v>
      </c>
      <c r="C6" s="11"/>
      <c r="D6" s="10"/>
      <c r="I6" s="24"/>
      <c r="J6" s="25"/>
      <c r="K6" s="26"/>
      <c r="L6" s="24"/>
      <c r="M6" s="24"/>
    </row>
    <row r="7" spans="2:13" ht="21" x14ac:dyDescent="0.5">
      <c r="B7" s="11">
        <v>23</v>
      </c>
      <c r="C7" s="11"/>
      <c r="I7" s="24"/>
      <c r="J7" s="25"/>
      <c r="K7" s="26"/>
      <c r="L7" s="24"/>
      <c r="M7" s="24"/>
    </row>
    <row r="8" spans="2:13" x14ac:dyDescent="0.35">
      <c r="B8" s="11" t="s">
        <v>13</v>
      </c>
      <c r="C8" s="11"/>
      <c r="I8" s="24"/>
      <c r="J8" s="24"/>
      <c r="K8" s="24"/>
      <c r="L8" s="24"/>
      <c r="M8" s="24"/>
    </row>
    <row r="9" spans="2:13" x14ac:dyDescent="0.35">
      <c r="B9" s="11">
        <v>-4</v>
      </c>
      <c r="C9" s="11"/>
      <c r="I9" s="24"/>
      <c r="J9" s="24"/>
      <c r="K9" s="24"/>
      <c r="L9" s="24"/>
      <c r="M9" s="24"/>
    </row>
    <row r="10" spans="2:13" ht="21" x14ac:dyDescent="0.5">
      <c r="B10" s="11">
        <v>7.4</v>
      </c>
      <c r="C10" s="11"/>
      <c r="I10" s="25"/>
      <c r="J10" s="24"/>
      <c r="K10" s="24"/>
      <c r="L10" s="24"/>
      <c r="M10" s="24"/>
    </row>
    <row r="12" spans="2:13" ht="15" thickBot="1" x14ac:dyDescent="0.4"/>
    <row r="13" spans="2:13" ht="15" thickBot="1" x14ac:dyDescent="0.4">
      <c r="B13" s="7" t="s">
        <v>14</v>
      </c>
    </row>
    <row r="14" spans="2:13" ht="15" thickBot="1" x14ac:dyDescent="0.4">
      <c r="B14" s="20"/>
    </row>
    <row r="15" spans="2:13" ht="15.5" thickTop="1" thickBot="1" x14ac:dyDescent="0.4">
      <c r="B15" s="21" t="s">
        <v>15</v>
      </c>
      <c r="E15" s="6" t="s">
        <v>5</v>
      </c>
      <c r="F15" s="12">
        <f>COUNT(B6:B10)</f>
        <v>3</v>
      </c>
    </row>
    <row r="16" spans="2:13" ht="15" thickBot="1" x14ac:dyDescent="0.4">
      <c r="B16" s="22"/>
    </row>
    <row r="17" spans="2:6" ht="15.5" thickTop="1" thickBot="1" x14ac:dyDescent="0.4">
      <c r="B17" s="21" t="s">
        <v>16</v>
      </c>
      <c r="E17" s="6" t="s">
        <v>5</v>
      </c>
      <c r="F17" s="12">
        <f>COUNT(B6:B10,129)</f>
        <v>4</v>
      </c>
    </row>
    <row r="18" spans="2:6" ht="15" thickBot="1" x14ac:dyDescent="0.4">
      <c r="B18" s="23"/>
    </row>
    <row r="19" spans="2:6" ht="15.5" thickTop="1" thickBot="1" x14ac:dyDescent="0.4">
      <c r="B19" s="21" t="s">
        <v>17</v>
      </c>
      <c r="E19" s="6" t="s">
        <v>5</v>
      </c>
      <c r="F19" s="12">
        <f>COUNT(B6:B10,129,"eada")</f>
        <v>4</v>
      </c>
    </row>
    <row r="20" spans="2:6" ht="15" thickBot="1" x14ac:dyDescent="0.4">
      <c r="B20" s="22"/>
    </row>
    <row r="21" spans="2:6" ht="15.5" thickTop="1" thickBot="1" x14ac:dyDescent="0.4">
      <c r="B21" s="21" t="s">
        <v>18</v>
      </c>
      <c r="E21" s="6" t="s">
        <v>5</v>
      </c>
      <c r="F21" s="12">
        <f>COUNT(B6:B10,129, "eada", -2)</f>
        <v>5</v>
      </c>
    </row>
    <row r="22" spans="2:6" x14ac:dyDescent="0.35">
      <c r="B22" s="20"/>
    </row>
    <row r="23" spans="2:6" x14ac:dyDescent="0.35">
      <c r="B23" s="20"/>
    </row>
    <row r="24" spans="2:6" x14ac:dyDescent="0.35">
      <c r="B24" s="20"/>
    </row>
    <row r="25" spans="2:6" x14ac:dyDescent="0.35">
      <c r="B25" s="20"/>
    </row>
    <row r="26" spans="2:6" x14ac:dyDescent="0.35">
      <c r="B26" s="20"/>
    </row>
    <row r="27" spans="2:6" x14ac:dyDescent="0.35">
      <c r="B27" s="20"/>
    </row>
    <row r="28" spans="2:6" x14ac:dyDescent="0.35">
      <c r="B28" s="20"/>
    </row>
    <row r="29" spans="2:6" x14ac:dyDescent="0.35">
      <c r="B29" s="20"/>
    </row>
    <row r="30" spans="2:6" x14ac:dyDescent="0.35">
      <c r="B30" s="20"/>
    </row>
    <row r="31" spans="2:6" x14ac:dyDescent="0.35">
      <c r="B31" s="20"/>
    </row>
    <row r="32" spans="2:6" x14ac:dyDescent="0.35">
      <c r="B32" s="20"/>
    </row>
    <row r="33" spans="2:2" x14ac:dyDescent="0.35">
      <c r="B33" s="20"/>
    </row>
    <row r="34" spans="2:2" x14ac:dyDescent="0.35">
      <c r="B34" s="20"/>
    </row>
    <row r="35" spans="2:2" x14ac:dyDescent="0.35">
      <c r="B35" s="20"/>
    </row>
    <row r="36" spans="2:2" x14ac:dyDescent="0.35">
      <c r="B36" s="20"/>
    </row>
    <row r="37" spans="2:2" x14ac:dyDescent="0.35">
      <c r="B37" s="20"/>
    </row>
    <row r="38" spans="2:2" x14ac:dyDescent="0.35">
      <c r="B38" s="20"/>
    </row>
    <row r="39" spans="2:2" x14ac:dyDescent="0.35">
      <c r="B39" s="20"/>
    </row>
    <row r="40" spans="2:2" x14ac:dyDescent="0.35">
      <c r="B40" s="20"/>
    </row>
    <row r="41" spans="2:2" x14ac:dyDescent="0.35">
      <c r="B41" s="20"/>
    </row>
    <row r="42" spans="2:2" x14ac:dyDescent="0.35">
      <c r="B42" s="20"/>
    </row>
    <row r="43" spans="2:2" x14ac:dyDescent="0.35">
      <c r="B43" s="20"/>
    </row>
    <row r="44" spans="2:2" x14ac:dyDescent="0.35">
      <c r="B44" s="20"/>
    </row>
    <row r="45" spans="2:2" x14ac:dyDescent="0.35">
      <c r="B45" s="20"/>
    </row>
    <row r="46" spans="2:2" x14ac:dyDescent="0.35">
      <c r="B46" s="20"/>
    </row>
    <row r="47" spans="2:2" x14ac:dyDescent="0.35">
      <c r="B47" s="20"/>
    </row>
    <row r="48" spans="2:2" x14ac:dyDescent="0.35">
      <c r="B48" s="20"/>
    </row>
    <row r="49" spans="2:2" x14ac:dyDescent="0.35">
      <c r="B49" s="20"/>
    </row>
    <row r="50" spans="2:2" x14ac:dyDescent="0.35">
      <c r="B50" s="20"/>
    </row>
    <row r="51" spans="2:2" x14ac:dyDescent="0.35">
      <c r="B51" s="20"/>
    </row>
    <row r="52" spans="2:2" x14ac:dyDescent="0.35">
      <c r="B52" s="20"/>
    </row>
    <row r="53" spans="2:2" x14ac:dyDescent="0.35">
      <c r="B53" s="20"/>
    </row>
    <row r="54" spans="2:2" x14ac:dyDescent="0.35">
      <c r="B54" s="20"/>
    </row>
    <row r="55" spans="2:2" x14ac:dyDescent="0.35">
      <c r="B55" s="20"/>
    </row>
    <row r="56" spans="2:2" x14ac:dyDescent="0.35">
      <c r="B56" s="20"/>
    </row>
    <row r="57" spans="2:2" x14ac:dyDescent="0.35">
      <c r="B57" s="20"/>
    </row>
    <row r="58" spans="2:2" x14ac:dyDescent="0.35">
      <c r="B58" s="20"/>
    </row>
    <row r="59" spans="2:2" x14ac:dyDescent="0.35">
      <c r="B59" s="20"/>
    </row>
    <row r="60" spans="2:2" x14ac:dyDescent="0.35">
      <c r="B60" s="20"/>
    </row>
    <row r="61" spans="2:2" x14ac:dyDescent="0.35">
      <c r="B61" s="20"/>
    </row>
    <row r="62" spans="2:2" x14ac:dyDescent="0.35">
      <c r="B62" s="20"/>
    </row>
  </sheetData>
  <hyperlinks>
    <hyperlink ref="B6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64"/>
  <sheetViews>
    <sheetView zoomScale="145" zoomScaleNormal="145" workbookViewId="0">
      <selection activeCell="G17" sqref="G17"/>
    </sheetView>
  </sheetViews>
  <sheetFormatPr defaultColWidth="11" defaultRowHeight="14.5" x14ac:dyDescent="0.35"/>
  <cols>
    <col min="2" max="2" width="12.453125" customWidth="1"/>
    <col min="9" max="9" width="18.7265625" customWidth="1"/>
  </cols>
  <sheetData>
    <row r="1" spans="2:6" x14ac:dyDescent="0.35">
      <c r="B1" s="10"/>
      <c r="C1" s="10"/>
      <c r="D1" s="10"/>
    </row>
    <row r="2" spans="2:6" ht="21.5" thickBot="1" x14ac:dyDescent="0.55000000000000004">
      <c r="B2" s="16" t="s">
        <v>10</v>
      </c>
      <c r="C2" s="14" t="s">
        <v>8</v>
      </c>
      <c r="D2" s="10"/>
    </row>
    <row r="3" spans="2:6" ht="15" thickBot="1" x14ac:dyDescent="0.4">
      <c r="B3" s="8" t="s">
        <v>41</v>
      </c>
      <c r="C3" s="10"/>
      <c r="D3" s="10"/>
    </row>
    <row r="4" spans="2:6" x14ac:dyDescent="0.35">
      <c r="B4" s="10"/>
      <c r="C4" s="10"/>
      <c r="D4" s="10"/>
    </row>
    <row r="5" spans="2:6" x14ac:dyDescent="0.35">
      <c r="B5" s="10"/>
      <c r="C5" s="10"/>
      <c r="D5" s="10"/>
    </row>
    <row r="6" spans="2:6" x14ac:dyDescent="0.35"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</row>
    <row r="7" spans="2:6" x14ac:dyDescent="0.35">
      <c r="B7" s="28" t="s">
        <v>24</v>
      </c>
      <c r="C7" s="27" t="s">
        <v>25</v>
      </c>
      <c r="D7" s="1" t="s">
        <v>26</v>
      </c>
      <c r="E7" s="1"/>
      <c r="F7" s="1" t="s">
        <v>27</v>
      </c>
    </row>
    <row r="8" spans="2:6" x14ac:dyDescent="0.35">
      <c r="B8" s="28" t="s">
        <v>28</v>
      </c>
      <c r="C8" s="27" t="s">
        <v>29</v>
      </c>
      <c r="D8" s="1"/>
      <c r="E8" s="1" t="s">
        <v>30</v>
      </c>
      <c r="F8" s="1" t="s">
        <v>26</v>
      </c>
    </row>
    <row r="9" spans="2:6" x14ac:dyDescent="0.35">
      <c r="B9" s="28" t="s">
        <v>31</v>
      </c>
      <c r="C9" s="27" t="s">
        <v>32</v>
      </c>
      <c r="D9" s="1"/>
      <c r="E9" s="29"/>
      <c r="F9" s="1" t="s">
        <v>33</v>
      </c>
    </row>
    <row r="10" spans="2:6" x14ac:dyDescent="0.35">
      <c r="B10" s="28" t="s">
        <v>34</v>
      </c>
      <c r="C10" s="27" t="s">
        <v>35</v>
      </c>
      <c r="D10" s="1" t="s">
        <v>27</v>
      </c>
      <c r="E10" s="1" t="s">
        <v>27</v>
      </c>
      <c r="F10" s="1"/>
    </row>
    <row r="11" spans="2:6" x14ac:dyDescent="0.35">
      <c r="B11" s="28" t="s">
        <v>36</v>
      </c>
      <c r="C11" s="27" t="s">
        <v>37</v>
      </c>
      <c r="D11" s="1" t="s">
        <v>30</v>
      </c>
      <c r="E11" s="29"/>
      <c r="F11" s="1"/>
    </row>
    <row r="12" spans="2:6" x14ac:dyDescent="0.35">
      <c r="B12" s="28" t="s">
        <v>38</v>
      </c>
      <c r="C12" s="27" t="s">
        <v>39</v>
      </c>
      <c r="D12" s="1"/>
      <c r="E12" s="1"/>
      <c r="F12" s="1" t="s">
        <v>40</v>
      </c>
    </row>
    <row r="14" spans="2:6" ht="15" thickBot="1" x14ac:dyDescent="0.4"/>
    <row r="15" spans="2:6" ht="15" thickBot="1" x14ac:dyDescent="0.4">
      <c r="B15" s="7" t="s">
        <v>42</v>
      </c>
    </row>
    <row r="16" spans="2:6" ht="15.5" thickTop="1" thickBot="1" x14ac:dyDescent="0.4">
      <c r="B16" s="6" t="s">
        <v>5</v>
      </c>
      <c r="C16" s="12"/>
    </row>
    <row r="17" spans="2:20" ht="15.5" thickTop="1" thickBot="1" x14ac:dyDescent="0.4">
      <c r="D17" s="24"/>
      <c r="E17" s="31"/>
      <c r="F17" s="24"/>
      <c r="G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2:20" ht="15" thickBot="1" x14ac:dyDescent="0.4">
      <c r="B18" s="7" t="s">
        <v>43</v>
      </c>
      <c r="C18" s="24"/>
      <c r="D18" s="24"/>
      <c r="E18" s="24"/>
      <c r="F18" s="24"/>
      <c r="G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2:20" ht="16" customHeight="1" thickTop="1" thickBot="1" x14ac:dyDescent="0.55000000000000004">
      <c r="B19" s="6" t="s">
        <v>5</v>
      </c>
      <c r="C19" s="12"/>
      <c r="D19" s="24"/>
      <c r="E19" s="31"/>
      <c r="F19" s="24"/>
      <c r="G19" s="24"/>
      <c r="I19" s="24"/>
      <c r="J19" s="25"/>
      <c r="K19" s="26"/>
      <c r="L19" s="24"/>
      <c r="M19" s="24"/>
      <c r="N19" s="24"/>
      <c r="O19" s="24"/>
      <c r="P19" s="24"/>
      <c r="Q19" s="24"/>
      <c r="R19" s="24"/>
      <c r="S19" s="24"/>
      <c r="T19" s="24"/>
    </row>
    <row r="20" spans="2:20" ht="17.149999999999999" customHeight="1" thickTop="1" thickBot="1" x14ac:dyDescent="0.55000000000000004">
      <c r="B20" s="32"/>
      <c r="C20" s="24"/>
      <c r="D20" s="24"/>
      <c r="E20" s="24"/>
      <c r="F20" s="24"/>
      <c r="G20" s="24"/>
      <c r="I20" s="24"/>
      <c r="J20" s="25"/>
      <c r="K20" s="26"/>
      <c r="L20" s="24"/>
      <c r="M20" s="24"/>
      <c r="N20" s="24"/>
      <c r="O20" s="24"/>
      <c r="P20" s="24"/>
      <c r="Q20" s="24"/>
      <c r="R20" s="24"/>
      <c r="S20" s="24"/>
      <c r="T20" s="24"/>
    </row>
    <row r="21" spans="2:20" ht="15" thickBot="1" x14ac:dyDescent="0.4">
      <c r="B21" s="7" t="s">
        <v>44</v>
      </c>
      <c r="C21" s="24"/>
      <c r="D21" s="24"/>
      <c r="E21" s="31"/>
      <c r="F21" s="24"/>
      <c r="G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2:20" ht="15.5" thickTop="1" thickBot="1" x14ac:dyDescent="0.4">
      <c r="B22" s="6" t="s">
        <v>5</v>
      </c>
      <c r="C22" s="12"/>
      <c r="D22" s="24"/>
      <c r="E22" s="24"/>
      <c r="F22" s="24"/>
      <c r="G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2:20" ht="15.5" thickTop="1" thickBot="1" x14ac:dyDescent="0.4">
      <c r="B23" s="30"/>
      <c r="C23" s="24"/>
      <c r="D23" s="24"/>
      <c r="E23" s="31"/>
      <c r="F23" s="24"/>
      <c r="G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2:20" ht="15" thickBot="1" x14ac:dyDescent="0.4">
      <c r="B24" s="7" t="s">
        <v>45</v>
      </c>
      <c r="C24" s="24"/>
      <c r="D24" s="24"/>
      <c r="E24" s="24"/>
      <c r="F24" s="24"/>
      <c r="G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2:20" ht="15.5" thickTop="1" thickBot="1" x14ac:dyDescent="0.4">
      <c r="B25" s="6" t="s">
        <v>5</v>
      </c>
      <c r="C25" s="12"/>
      <c r="D25" s="24"/>
      <c r="E25" s="24"/>
      <c r="F25" s="24"/>
      <c r="G25" s="24"/>
    </row>
    <row r="26" spans="2:20" ht="15" thickTop="1" x14ac:dyDescent="0.35">
      <c r="B26" s="33"/>
      <c r="C26" s="24"/>
      <c r="D26" s="24"/>
      <c r="E26" s="24"/>
      <c r="F26" s="24"/>
      <c r="G26" s="24"/>
    </row>
    <row r="27" spans="2:20" x14ac:dyDescent="0.35">
      <c r="B27" s="20"/>
    </row>
    <row r="28" spans="2:20" x14ac:dyDescent="0.35">
      <c r="B28" s="20"/>
    </row>
    <row r="29" spans="2:20" x14ac:dyDescent="0.35">
      <c r="B29" s="20"/>
    </row>
    <row r="30" spans="2:20" x14ac:dyDescent="0.35">
      <c r="B30" s="20"/>
    </row>
    <row r="31" spans="2:20" x14ac:dyDescent="0.35">
      <c r="B31" s="20"/>
    </row>
    <row r="32" spans="2:20" x14ac:dyDescent="0.35">
      <c r="B32" s="20"/>
    </row>
    <row r="33" spans="2:2" x14ac:dyDescent="0.35">
      <c r="B33" s="20"/>
    </row>
    <row r="34" spans="2:2" x14ac:dyDescent="0.35">
      <c r="B34" s="20"/>
    </row>
    <row r="35" spans="2:2" x14ac:dyDescent="0.35">
      <c r="B35" s="20"/>
    </row>
    <row r="36" spans="2:2" x14ac:dyDescent="0.35">
      <c r="B36" s="20"/>
    </row>
    <row r="37" spans="2:2" x14ac:dyDescent="0.35">
      <c r="B37" s="20"/>
    </row>
    <row r="38" spans="2:2" x14ac:dyDescent="0.35">
      <c r="B38" s="20"/>
    </row>
    <row r="39" spans="2:2" x14ac:dyDescent="0.35">
      <c r="B39" s="20"/>
    </row>
    <row r="40" spans="2:2" x14ac:dyDescent="0.35">
      <c r="B40" s="20"/>
    </row>
    <row r="41" spans="2:2" x14ac:dyDescent="0.35">
      <c r="B41" s="20"/>
    </row>
    <row r="42" spans="2:2" x14ac:dyDescent="0.35">
      <c r="B42" s="20"/>
    </row>
    <row r="43" spans="2:2" x14ac:dyDescent="0.35">
      <c r="B43" s="20"/>
    </row>
    <row r="44" spans="2:2" x14ac:dyDescent="0.35">
      <c r="B44" s="20"/>
    </row>
    <row r="45" spans="2:2" x14ac:dyDescent="0.35">
      <c r="B45" s="20"/>
    </row>
    <row r="46" spans="2:2" x14ac:dyDescent="0.35">
      <c r="B46" s="20"/>
    </row>
    <row r="47" spans="2:2" x14ac:dyDescent="0.35">
      <c r="B47" s="20"/>
    </row>
    <row r="48" spans="2:2" x14ac:dyDescent="0.35">
      <c r="B48" s="20"/>
    </row>
    <row r="49" spans="2:2" x14ac:dyDescent="0.35">
      <c r="B49" s="20"/>
    </row>
    <row r="50" spans="2:2" x14ac:dyDescent="0.35">
      <c r="B50" s="20"/>
    </row>
    <row r="51" spans="2:2" x14ac:dyDescent="0.35">
      <c r="B51" s="20"/>
    </row>
    <row r="52" spans="2:2" x14ac:dyDescent="0.35">
      <c r="B52" s="20"/>
    </row>
    <row r="53" spans="2:2" x14ac:dyDescent="0.35">
      <c r="B53" s="20"/>
    </row>
    <row r="54" spans="2:2" x14ac:dyDescent="0.35">
      <c r="B54" s="20"/>
    </row>
    <row r="55" spans="2:2" x14ac:dyDescent="0.35">
      <c r="B55" s="20"/>
    </row>
    <row r="56" spans="2:2" x14ac:dyDescent="0.35">
      <c r="B56" s="20"/>
    </row>
    <row r="57" spans="2:2" x14ac:dyDescent="0.35">
      <c r="B57" s="20"/>
    </row>
    <row r="58" spans="2:2" x14ac:dyDescent="0.35">
      <c r="B58" s="20"/>
    </row>
    <row r="59" spans="2:2" x14ac:dyDescent="0.35">
      <c r="B59" s="20"/>
    </row>
    <row r="60" spans="2:2" x14ac:dyDescent="0.35">
      <c r="B60" s="20"/>
    </row>
    <row r="61" spans="2:2" x14ac:dyDescent="0.35">
      <c r="B61" s="20"/>
    </row>
    <row r="62" spans="2:2" x14ac:dyDescent="0.35">
      <c r="B62" s="20"/>
    </row>
    <row r="63" spans="2:2" x14ac:dyDescent="0.35">
      <c r="B63" s="20"/>
    </row>
    <row r="64" spans="2:2" x14ac:dyDescent="0.35">
      <c r="B64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64"/>
  <sheetViews>
    <sheetView zoomScale="145" zoomScaleNormal="145" workbookViewId="0">
      <selection activeCell="I23" sqref="I23"/>
    </sheetView>
  </sheetViews>
  <sheetFormatPr defaultColWidth="10.81640625" defaultRowHeight="14.5" x14ac:dyDescent="0.35"/>
  <cols>
    <col min="1" max="1" width="10.81640625" style="27"/>
    <col min="2" max="2" width="12.453125" style="27" customWidth="1"/>
    <col min="3" max="3" width="11.1796875" style="27" bestFit="1" customWidth="1"/>
    <col min="4" max="8" width="10.81640625" style="27"/>
    <col min="9" max="9" width="18.7265625" style="27" customWidth="1"/>
    <col min="10" max="10" width="19.1796875" style="27" customWidth="1"/>
    <col min="11" max="16384" width="10.81640625" style="27"/>
  </cols>
  <sheetData>
    <row r="1" spans="2:6" x14ac:dyDescent="0.35">
      <c r="B1" s="10"/>
      <c r="C1" s="10"/>
      <c r="D1" s="10"/>
    </row>
    <row r="2" spans="2:6" ht="21.5" thickBot="1" x14ac:dyDescent="0.55000000000000004">
      <c r="B2" s="16" t="s">
        <v>10</v>
      </c>
      <c r="C2" s="14" t="s">
        <v>8</v>
      </c>
      <c r="D2" s="10"/>
    </row>
    <row r="3" spans="2:6" ht="15" thickBot="1" x14ac:dyDescent="0.4">
      <c r="B3" s="8" t="s">
        <v>41</v>
      </c>
      <c r="C3" s="10"/>
      <c r="D3" s="10"/>
    </row>
    <row r="4" spans="2:6" x14ac:dyDescent="0.35">
      <c r="B4" s="10"/>
      <c r="C4" s="10"/>
      <c r="D4" s="10"/>
    </row>
    <row r="5" spans="2:6" x14ac:dyDescent="0.35">
      <c r="B5" s="10"/>
      <c r="C5" s="10"/>
      <c r="D5" s="10"/>
    </row>
    <row r="6" spans="2:6" x14ac:dyDescent="0.35"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</row>
    <row r="7" spans="2:6" x14ac:dyDescent="0.35">
      <c r="B7" s="28" t="s">
        <v>24</v>
      </c>
      <c r="C7" s="27" t="s">
        <v>25</v>
      </c>
      <c r="D7" s="1" t="s">
        <v>26</v>
      </c>
      <c r="E7" s="1"/>
      <c r="F7" s="1" t="s">
        <v>27</v>
      </c>
    </row>
    <row r="8" spans="2:6" x14ac:dyDescent="0.35">
      <c r="B8" s="28" t="s">
        <v>28</v>
      </c>
      <c r="C8" s="27" t="s">
        <v>29</v>
      </c>
      <c r="D8" s="1"/>
      <c r="E8" s="1" t="s">
        <v>30</v>
      </c>
      <c r="F8" s="1" t="s">
        <v>26</v>
      </c>
    </row>
    <row r="9" spans="2:6" x14ac:dyDescent="0.35">
      <c r="B9" s="28" t="s">
        <v>31</v>
      </c>
      <c r="C9" s="27" t="s">
        <v>32</v>
      </c>
      <c r="D9" s="1"/>
      <c r="E9" s="29"/>
      <c r="F9" s="1" t="s">
        <v>33</v>
      </c>
    </row>
    <row r="10" spans="2:6" x14ac:dyDescent="0.35">
      <c r="B10" s="28" t="s">
        <v>34</v>
      </c>
      <c r="C10" s="27" t="s">
        <v>35</v>
      </c>
      <c r="D10" s="1" t="s">
        <v>27</v>
      </c>
      <c r="E10" s="1" t="s">
        <v>27</v>
      </c>
      <c r="F10" s="1"/>
    </row>
    <row r="11" spans="2:6" x14ac:dyDescent="0.35">
      <c r="B11" s="28" t="s">
        <v>36</v>
      </c>
      <c r="C11" s="27" t="s">
        <v>37</v>
      </c>
      <c r="D11" s="1" t="s">
        <v>30</v>
      </c>
      <c r="E11" s="29"/>
      <c r="F11" s="1"/>
    </row>
    <row r="12" spans="2:6" x14ac:dyDescent="0.35">
      <c r="B12" s="28" t="s">
        <v>38</v>
      </c>
      <c r="C12" s="27" t="s">
        <v>39</v>
      </c>
      <c r="D12" s="1"/>
      <c r="E12" s="1"/>
      <c r="F12" s="1" t="s">
        <v>40</v>
      </c>
    </row>
    <row r="14" spans="2:6" ht="15" thickBot="1" x14ac:dyDescent="0.4"/>
    <row r="15" spans="2:6" ht="15" thickBot="1" x14ac:dyDescent="0.4">
      <c r="B15" s="7" t="s">
        <v>42</v>
      </c>
    </row>
    <row r="16" spans="2:6" ht="15.5" thickTop="1" thickBot="1" x14ac:dyDescent="0.4">
      <c r="B16" s="6" t="s">
        <v>5</v>
      </c>
      <c r="C16" s="12">
        <f>COUNTA(D7:D12)</f>
        <v>3</v>
      </c>
    </row>
    <row r="17" spans="2:7" ht="15.5" thickTop="1" thickBot="1" x14ac:dyDescent="0.4">
      <c r="D17" s="24"/>
      <c r="E17" s="31"/>
      <c r="F17" s="24"/>
      <c r="G17" s="24"/>
    </row>
    <row r="18" spans="2:7" ht="15" thickBot="1" x14ac:dyDescent="0.4">
      <c r="B18" s="7" t="s">
        <v>43</v>
      </c>
      <c r="C18" s="24"/>
      <c r="D18" s="24"/>
      <c r="E18" s="24"/>
      <c r="F18" s="24"/>
      <c r="G18" s="24"/>
    </row>
    <row r="19" spans="2:7" ht="16" customHeight="1" thickTop="1" thickBot="1" x14ac:dyDescent="0.4">
      <c r="B19" s="6" t="s">
        <v>5</v>
      </c>
      <c r="C19" s="12">
        <f>COUNTA(E7:E12)</f>
        <v>2</v>
      </c>
      <c r="D19" s="24"/>
      <c r="E19" s="31"/>
      <c r="F19" s="24"/>
      <c r="G19" s="24"/>
    </row>
    <row r="20" spans="2:7" ht="17.149999999999999" customHeight="1" thickTop="1" thickBot="1" x14ac:dyDescent="0.4">
      <c r="B20" s="32"/>
      <c r="C20" s="24"/>
      <c r="D20" s="24"/>
      <c r="E20" s="24"/>
      <c r="F20" s="24"/>
      <c r="G20" s="24"/>
    </row>
    <row r="21" spans="2:7" ht="15" thickBot="1" x14ac:dyDescent="0.4">
      <c r="B21" s="7" t="s">
        <v>44</v>
      </c>
      <c r="C21" s="24"/>
      <c r="D21" s="24"/>
      <c r="E21" s="31"/>
      <c r="F21" s="24"/>
      <c r="G21" s="24"/>
    </row>
    <row r="22" spans="2:7" ht="15.5" thickTop="1" thickBot="1" x14ac:dyDescent="0.4">
      <c r="B22" s="6" t="s">
        <v>5</v>
      </c>
      <c r="C22" s="12">
        <f>COUNTA(F7:F12)</f>
        <v>4</v>
      </c>
      <c r="D22" s="24"/>
      <c r="E22" s="24"/>
      <c r="F22" s="24"/>
      <c r="G22" s="24"/>
    </row>
    <row r="23" spans="2:7" ht="15.5" thickTop="1" thickBot="1" x14ac:dyDescent="0.4">
      <c r="B23" s="30"/>
      <c r="C23" s="24"/>
      <c r="D23" s="24"/>
      <c r="E23" s="31"/>
      <c r="F23" s="24"/>
      <c r="G23" s="24"/>
    </row>
    <row r="24" spans="2:7" ht="15" thickBot="1" x14ac:dyDescent="0.4">
      <c r="B24" s="7" t="s">
        <v>45</v>
      </c>
      <c r="C24" s="24"/>
      <c r="D24" s="24"/>
      <c r="E24" s="24"/>
      <c r="F24" s="24"/>
      <c r="G24" s="24"/>
    </row>
    <row r="25" spans="2:7" ht="15.5" thickTop="1" thickBot="1" x14ac:dyDescent="0.4">
      <c r="B25" s="6" t="s">
        <v>5</v>
      </c>
      <c r="C25" s="12">
        <f>COUNTA(D7:D12,"Jason","Chris")</f>
        <v>5</v>
      </c>
      <c r="D25" s="24"/>
      <c r="E25" s="24"/>
      <c r="F25" s="24"/>
      <c r="G25" s="24"/>
    </row>
    <row r="26" spans="2:7" ht="15" thickTop="1" x14ac:dyDescent="0.35">
      <c r="B26" s="33"/>
      <c r="C26" s="24"/>
      <c r="D26" s="24"/>
      <c r="E26" s="24"/>
      <c r="F26" s="24"/>
      <c r="G26" s="24"/>
    </row>
    <row r="27" spans="2:7" x14ac:dyDescent="0.35">
      <c r="B27" s="20"/>
    </row>
    <row r="28" spans="2:7" x14ac:dyDescent="0.35">
      <c r="B28" s="20"/>
    </row>
    <row r="29" spans="2:7" x14ac:dyDescent="0.35">
      <c r="B29" s="20"/>
    </row>
    <row r="30" spans="2:7" x14ac:dyDescent="0.35">
      <c r="B30" s="20"/>
    </row>
    <row r="31" spans="2:7" x14ac:dyDescent="0.35">
      <c r="B31" s="20"/>
    </row>
    <row r="32" spans="2:7" x14ac:dyDescent="0.35">
      <c r="B32" s="20"/>
    </row>
    <row r="33" spans="2:2" x14ac:dyDescent="0.35">
      <c r="B33" s="20"/>
    </row>
    <row r="34" spans="2:2" x14ac:dyDescent="0.35">
      <c r="B34" s="20"/>
    </row>
    <row r="35" spans="2:2" x14ac:dyDescent="0.35">
      <c r="B35" s="20"/>
    </row>
    <row r="36" spans="2:2" x14ac:dyDescent="0.35">
      <c r="B36" s="20"/>
    </row>
    <row r="37" spans="2:2" x14ac:dyDescent="0.35">
      <c r="B37" s="20"/>
    </row>
    <row r="38" spans="2:2" x14ac:dyDescent="0.35">
      <c r="B38" s="20"/>
    </row>
    <row r="39" spans="2:2" x14ac:dyDescent="0.35">
      <c r="B39" s="20"/>
    </row>
    <row r="40" spans="2:2" x14ac:dyDescent="0.35">
      <c r="B40" s="20"/>
    </row>
    <row r="41" spans="2:2" x14ac:dyDescent="0.35">
      <c r="B41" s="20"/>
    </row>
    <row r="42" spans="2:2" x14ac:dyDescent="0.35">
      <c r="B42" s="20"/>
    </row>
    <row r="43" spans="2:2" x14ac:dyDescent="0.35">
      <c r="B43" s="20"/>
    </row>
    <row r="44" spans="2:2" x14ac:dyDescent="0.35">
      <c r="B44" s="20"/>
    </row>
    <row r="45" spans="2:2" x14ac:dyDescent="0.35">
      <c r="B45" s="20"/>
    </row>
    <row r="46" spans="2:2" x14ac:dyDescent="0.35">
      <c r="B46" s="20"/>
    </row>
    <row r="47" spans="2:2" x14ac:dyDescent="0.35">
      <c r="B47" s="20"/>
    </row>
    <row r="48" spans="2:2" x14ac:dyDescent="0.35">
      <c r="B48" s="20"/>
    </row>
    <row r="49" spans="2:2" x14ac:dyDescent="0.35">
      <c r="B49" s="20"/>
    </row>
    <row r="50" spans="2:2" x14ac:dyDescent="0.35">
      <c r="B50" s="20"/>
    </row>
    <row r="51" spans="2:2" x14ac:dyDescent="0.35">
      <c r="B51" s="20"/>
    </row>
    <row r="52" spans="2:2" x14ac:dyDescent="0.35">
      <c r="B52" s="20"/>
    </row>
    <row r="53" spans="2:2" x14ac:dyDescent="0.35">
      <c r="B53" s="20"/>
    </row>
    <row r="54" spans="2:2" x14ac:dyDescent="0.35">
      <c r="B54" s="20"/>
    </row>
    <row r="55" spans="2:2" x14ac:dyDescent="0.35">
      <c r="B55" s="20"/>
    </row>
    <row r="56" spans="2:2" x14ac:dyDescent="0.35">
      <c r="B56" s="20"/>
    </row>
    <row r="57" spans="2:2" x14ac:dyDescent="0.35">
      <c r="B57" s="20"/>
    </row>
    <row r="58" spans="2:2" x14ac:dyDescent="0.35">
      <c r="B58" s="20"/>
    </row>
    <row r="59" spans="2:2" x14ac:dyDescent="0.35">
      <c r="B59" s="20"/>
    </row>
    <row r="60" spans="2:2" x14ac:dyDescent="0.35">
      <c r="B60" s="20"/>
    </row>
    <row r="61" spans="2:2" x14ac:dyDescent="0.35">
      <c r="B61" s="20"/>
    </row>
    <row r="62" spans="2:2" x14ac:dyDescent="0.35">
      <c r="B62" s="20"/>
    </row>
    <row r="63" spans="2:2" x14ac:dyDescent="0.35">
      <c r="B63" s="20"/>
    </row>
    <row r="64" spans="2:2" x14ac:dyDescent="0.35">
      <c r="B6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65"/>
  <sheetViews>
    <sheetView zoomScale="145" zoomScaleNormal="145" workbookViewId="0">
      <selection activeCell="B16" sqref="B16:C20"/>
    </sheetView>
  </sheetViews>
  <sheetFormatPr defaultColWidth="10.81640625" defaultRowHeight="14.5" x14ac:dyDescent="0.35"/>
  <cols>
    <col min="1" max="1" width="10.81640625" style="27"/>
    <col min="2" max="2" width="12.453125" style="27" customWidth="1"/>
    <col min="3" max="8" width="10.81640625" style="27"/>
    <col min="9" max="9" width="18.7265625" style="27" customWidth="1"/>
    <col min="10" max="16384" width="10.81640625" style="27"/>
  </cols>
  <sheetData>
    <row r="1" spans="2:6" x14ac:dyDescent="0.35">
      <c r="B1" s="10"/>
      <c r="C1" s="10"/>
      <c r="D1" s="10"/>
    </row>
    <row r="2" spans="2:6" ht="21.5" thickBot="1" x14ac:dyDescent="0.55000000000000004">
      <c r="B2" s="16" t="s">
        <v>47</v>
      </c>
      <c r="C2" s="34" t="s">
        <v>46</v>
      </c>
      <c r="D2" s="10"/>
    </row>
    <row r="3" spans="2:6" ht="15" thickBot="1" x14ac:dyDescent="0.4">
      <c r="B3" s="8" t="s">
        <v>48</v>
      </c>
      <c r="C3" s="10"/>
      <c r="D3" s="10"/>
    </row>
    <row r="4" spans="2:6" x14ac:dyDescent="0.35">
      <c r="B4" s="10"/>
      <c r="C4" s="10"/>
      <c r="D4" s="10"/>
    </row>
    <row r="5" spans="2:6" x14ac:dyDescent="0.35">
      <c r="B5" s="10"/>
      <c r="C5" s="10"/>
      <c r="D5" s="10"/>
    </row>
    <row r="6" spans="2:6" x14ac:dyDescent="0.35">
      <c r="B6" s="6" t="s">
        <v>3</v>
      </c>
      <c r="C6" s="6" t="s">
        <v>4</v>
      </c>
      <c r="D6" s="31"/>
      <c r="E6" s="31"/>
      <c r="F6" s="31"/>
    </row>
    <row r="7" spans="2:6" x14ac:dyDescent="0.35">
      <c r="B7" s="37">
        <v>41367</v>
      </c>
      <c r="C7" s="1">
        <v>12.25</v>
      </c>
      <c r="E7" s="35"/>
      <c r="F7" s="35"/>
    </row>
    <row r="8" spans="2:6" x14ac:dyDescent="0.35">
      <c r="B8" s="37">
        <v>41525</v>
      </c>
      <c r="C8" s="1">
        <v>10.5</v>
      </c>
      <c r="E8" s="35"/>
      <c r="F8" s="35"/>
    </row>
    <row r="9" spans="2:6" x14ac:dyDescent="0.35">
      <c r="B9" s="37">
        <v>41672</v>
      </c>
      <c r="C9" s="1">
        <v>5.0999999999999996</v>
      </c>
      <c r="E9" s="36"/>
      <c r="F9" s="35"/>
    </row>
    <row r="10" spans="2:6" x14ac:dyDescent="0.35">
      <c r="B10" s="37">
        <v>41843</v>
      </c>
      <c r="C10" s="1">
        <v>8.35</v>
      </c>
      <c r="E10" s="35"/>
      <c r="F10" s="35"/>
    </row>
    <row r="11" spans="2:6" x14ac:dyDescent="0.35">
      <c r="B11" s="37">
        <v>42130</v>
      </c>
      <c r="C11" s="1">
        <v>13.45</v>
      </c>
      <c r="E11" s="36"/>
      <c r="F11" s="35"/>
    </row>
    <row r="12" spans="2:6" x14ac:dyDescent="0.35">
      <c r="B12" s="37">
        <v>42330</v>
      </c>
      <c r="C12" s="1">
        <v>7.95</v>
      </c>
      <c r="E12" s="35"/>
      <c r="F12" s="35"/>
    </row>
    <row r="13" spans="2:6" x14ac:dyDescent="0.35">
      <c r="B13" s="37">
        <v>42404</v>
      </c>
      <c r="C13" s="1">
        <v>6</v>
      </c>
      <c r="E13" s="24"/>
      <c r="F13" s="24"/>
    </row>
    <row r="14" spans="2:6" x14ac:dyDescent="0.35">
      <c r="B14" s="37">
        <v>42615</v>
      </c>
      <c r="C14" s="1">
        <v>4.55</v>
      </c>
    </row>
    <row r="15" spans="2:6" ht="15" thickBot="1" x14ac:dyDescent="0.4">
      <c r="B15" s="28"/>
    </row>
    <row r="16" spans="2:6" ht="15" thickBot="1" x14ac:dyDescent="0.4">
      <c r="B16" s="7" t="s">
        <v>50</v>
      </c>
    </row>
    <row r="17" spans="2:20" ht="15.5" thickTop="1" thickBot="1" x14ac:dyDescent="0.4">
      <c r="B17" s="6" t="s">
        <v>5</v>
      </c>
      <c r="C17" s="12"/>
    </row>
    <row r="18" spans="2:20" ht="15.5" thickTop="1" thickBot="1" x14ac:dyDescent="0.4">
      <c r="D18" s="24"/>
      <c r="E18" s="31"/>
      <c r="F18" s="24"/>
      <c r="G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2:20" ht="15" thickBot="1" x14ac:dyDescent="0.4">
      <c r="B19" s="7" t="s">
        <v>49</v>
      </c>
      <c r="C19" s="24"/>
      <c r="D19" s="24"/>
      <c r="E19" s="24"/>
      <c r="F19" s="24"/>
      <c r="G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2:20" ht="16" customHeight="1" thickTop="1" thickBot="1" x14ac:dyDescent="0.55000000000000004">
      <c r="B20" s="6" t="s">
        <v>5</v>
      </c>
      <c r="C20" s="12"/>
      <c r="D20" s="24"/>
      <c r="E20" s="31"/>
      <c r="F20" s="24"/>
      <c r="G20" s="24"/>
      <c r="I20" s="24"/>
      <c r="J20" s="25"/>
      <c r="K20" s="26"/>
      <c r="L20" s="24"/>
      <c r="M20" s="24"/>
      <c r="N20" s="24"/>
      <c r="O20" s="24"/>
      <c r="P20" s="24"/>
      <c r="Q20" s="24"/>
      <c r="R20" s="24"/>
      <c r="S20" s="24"/>
      <c r="T20" s="24"/>
    </row>
    <row r="21" spans="2:20" ht="17.149999999999999" customHeight="1" thickTop="1" x14ac:dyDescent="0.5">
      <c r="B21" s="32"/>
      <c r="C21" s="24"/>
      <c r="D21" s="24"/>
      <c r="E21" s="24"/>
      <c r="F21" s="24"/>
      <c r="G21" s="24"/>
      <c r="I21" s="24"/>
      <c r="J21" s="25"/>
      <c r="K21" s="26"/>
      <c r="L21" s="24"/>
      <c r="M21" s="24"/>
      <c r="N21" s="24"/>
      <c r="O21" s="24"/>
      <c r="P21" s="24"/>
      <c r="Q21" s="24"/>
      <c r="R21" s="24"/>
      <c r="S21" s="24"/>
      <c r="T21" s="24"/>
    </row>
    <row r="22" spans="2:20" x14ac:dyDescent="0.35">
      <c r="B22" s="38"/>
      <c r="C22" s="24"/>
      <c r="D22" s="24"/>
      <c r="E22" s="31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2:20" x14ac:dyDescent="0.35">
      <c r="B23" s="31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2:20" x14ac:dyDescent="0.35">
      <c r="B24" s="30"/>
      <c r="C24" s="24"/>
      <c r="D24" s="24"/>
      <c r="E24" s="31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2:20" x14ac:dyDescent="0.35">
      <c r="B25" s="38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2:20" x14ac:dyDescent="0.35">
      <c r="B26" s="31"/>
      <c r="C26" s="24"/>
      <c r="D26" s="24"/>
      <c r="E26" s="24"/>
      <c r="F26" s="24"/>
      <c r="G26" s="24"/>
      <c r="H26" s="24"/>
      <c r="I26" s="24"/>
    </row>
    <row r="27" spans="2:20" x14ac:dyDescent="0.35">
      <c r="B27" s="33"/>
      <c r="C27" s="24"/>
      <c r="D27" s="24"/>
      <c r="E27" s="24"/>
      <c r="F27" s="24"/>
      <c r="G27" s="24"/>
      <c r="H27" s="24"/>
      <c r="I27" s="24"/>
    </row>
    <row r="28" spans="2:20" x14ac:dyDescent="0.35">
      <c r="B28" s="33"/>
      <c r="C28" s="24"/>
      <c r="D28" s="24"/>
      <c r="E28" s="24"/>
      <c r="F28" s="24"/>
      <c r="G28" s="24"/>
      <c r="H28" s="24"/>
      <c r="I28" s="24"/>
    </row>
    <row r="29" spans="2:20" x14ac:dyDescent="0.35">
      <c r="B29" s="20"/>
    </row>
    <row r="30" spans="2:20" x14ac:dyDescent="0.35">
      <c r="B30" s="20"/>
    </row>
    <row r="31" spans="2:20" x14ac:dyDescent="0.35">
      <c r="B31" s="20"/>
    </row>
    <row r="32" spans="2:20" x14ac:dyDescent="0.35">
      <c r="B32" s="20"/>
    </row>
    <row r="33" spans="2:2" x14ac:dyDescent="0.35">
      <c r="B33" s="20"/>
    </row>
    <row r="34" spans="2:2" x14ac:dyDescent="0.35">
      <c r="B34" s="20"/>
    </row>
    <row r="35" spans="2:2" x14ac:dyDescent="0.35">
      <c r="B35" s="20"/>
    </row>
    <row r="36" spans="2:2" x14ac:dyDescent="0.35">
      <c r="B36" s="20"/>
    </row>
    <row r="37" spans="2:2" x14ac:dyDescent="0.35">
      <c r="B37" s="20"/>
    </row>
    <row r="38" spans="2:2" x14ac:dyDescent="0.35">
      <c r="B38" s="20"/>
    </row>
    <row r="39" spans="2:2" x14ac:dyDescent="0.35">
      <c r="B39" s="20"/>
    </row>
    <row r="40" spans="2:2" x14ac:dyDescent="0.35">
      <c r="B40" s="20"/>
    </row>
    <row r="41" spans="2:2" x14ac:dyDescent="0.35">
      <c r="B41" s="20"/>
    </row>
    <row r="42" spans="2:2" x14ac:dyDescent="0.35">
      <c r="B42" s="20"/>
    </row>
    <row r="43" spans="2:2" x14ac:dyDescent="0.35">
      <c r="B43" s="20"/>
    </row>
    <row r="44" spans="2:2" x14ac:dyDescent="0.35">
      <c r="B44" s="20"/>
    </row>
    <row r="45" spans="2:2" x14ac:dyDescent="0.35">
      <c r="B45" s="20"/>
    </row>
    <row r="46" spans="2:2" x14ac:dyDescent="0.35">
      <c r="B46" s="20"/>
    </row>
    <row r="47" spans="2:2" x14ac:dyDescent="0.35">
      <c r="B47" s="20"/>
    </row>
    <row r="48" spans="2:2" x14ac:dyDescent="0.35">
      <c r="B48" s="20"/>
    </row>
    <row r="49" spans="2:2" x14ac:dyDescent="0.35">
      <c r="B49" s="20"/>
    </row>
    <row r="50" spans="2:2" x14ac:dyDescent="0.35">
      <c r="B50" s="20"/>
    </row>
    <row r="51" spans="2:2" x14ac:dyDescent="0.35">
      <c r="B51" s="20"/>
    </row>
    <row r="52" spans="2:2" x14ac:dyDescent="0.35">
      <c r="B52" s="20"/>
    </row>
    <row r="53" spans="2:2" x14ac:dyDescent="0.35">
      <c r="B53" s="20"/>
    </row>
    <row r="54" spans="2:2" x14ac:dyDescent="0.35">
      <c r="B54" s="20"/>
    </row>
    <row r="55" spans="2:2" x14ac:dyDescent="0.35">
      <c r="B55" s="20"/>
    </row>
    <row r="56" spans="2:2" x14ac:dyDescent="0.35">
      <c r="B56" s="20"/>
    </row>
    <row r="57" spans="2:2" x14ac:dyDescent="0.35">
      <c r="B57" s="20"/>
    </row>
    <row r="58" spans="2:2" x14ac:dyDescent="0.35">
      <c r="B58" s="20"/>
    </row>
    <row r="59" spans="2:2" x14ac:dyDescent="0.35">
      <c r="B59" s="20"/>
    </row>
    <row r="60" spans="2:2" x14ac:dyDescent="0.35">
      <c r="B60" s="20"/>
    </row>
    <row r="61" spans="2:2" x14ac:dyDescent="0.35">
      <c r="B61" s="20"/>
    </row>
    <row r="62" spans="2:2" x14ac:dyDescent="0.35">
      <c r="B62" s="20"/>
    </row>
    <row r="63" spans="2:2" x14ac:dyDescent="0.35">
      <c r="B63" s="20"/>
    </row>
    <row r="64" spans="2:2" x14ac:dyDescent="0.35">
      <c r="B64" s="20"/>
    </row>
    <row r="65" spans="2:2" x14ac:dyDescent="0.35">
      <c r="B65" s="20"/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H38"/>
  <sheetViews>
    <sheetView zoomScale="145" zoomScaleNormal="145" workbookViewId="0">
      <selection activeCell="J28" sqref="J28"/>
    </sheetView>
  </sheetViews>
  <sheetFormatPr defaultColWidth="11" defaultRowHeight="14.5" x14ac:dyDescent="0.35"/>
  <sheetData>
    <row r="3" spans="2:8" ht="21.5" thickBot="1" x14ac:dyDescent="0.55000000000000004">
      <c r="B3" s="16" t="s">
        <v>51</v>
      </c>
      <c r="C3" s="34" t="s">
        <v>53</v>
      </c>
    </row>
    <row r="4" spans="2:8" ht="15" thickBot="1" x14ac:dyDescent="0.4">
      <c r="B4" s="8" t="s">
        <v>54</v>
      </c>
      <c r="C4" s="10"/>
    </row>
    <row r="6" spans="2:8" ht="21.5" thickBot="1" x14ac:dyDescent="0.55000000000000004">
      <c r="B6" s="16" t="s">
        <v>52</v>
      </c>
      <c r="C6" s="34" t="s">
        <v>56</v>
      </c>
    </row>
    <row r="7" spans="2:8" ht="15" thickBot="1" x14ac:dyDescent="0.4">
      <c r="B7" s="8" t="s">
        <v>55</v>
      </c>
    </row>
    <row r="10" spans="2:8" x14ac:dyDescent="0.35">
      <c r="B10">
        <v>56</v>
      </c>
      <c r="C10" s="27">
        <v>48</v>
      </c>
      <c r="D10" s="27">
        <v>1</v>
      </c>
      <c r="E10" s="27">
        <v>81</v>
      </c>
      <c r="F10" s="27">
        <v>3</v>
      </c>
      <c r="G10" s="27">
        <v>99</v>
      </c>
      <c r="H10" s="27">
        <v>72</v>
      </c>
    </row>
    <row r="11" spans="2:8" x14ac:dyDescent="0.35">
      <c r="B11" s="27">
        <v>8</v>
      </c>
      <c r="C11" s="27">
        <v>1</v>
      </c>
      <c r="D11" s="27">
        <v>26</v>
      </c>
      <c r="E11" s="27">
        <v>27</v>
      </c>
      <c r="F11" s="27">
        <v>79</v>
      </c>
      <c r="G11" s="27">
        <v>33</v>
      </c>
      <c r="H11" s="27">
        <v>67</v>
      </c>
    </row>
    <row r="12" spans="2:8" x14ac:dyDescent="0.35">
      <c r="B12" s="27">
        <v>73</v>
      </c>
      <c r="C12" s="27">
        <v>6</v>
      </c>
      <c r="D12" s="27">
        <v>41</v>
      </c>
      <c r="E12" s="27">
        <v>29</v>
      </c>
      <c r="F12" s="27">
        <v>1</v>
      </c>
      <c r="G12" s="27">
        <v>66</v>
      </c>
      <c r="H12" s="27">
        <v>89</v>
      </c>
    </row>
    <row r="13" spans="2:8" x14ac:dyDescent="0.35">
      <c r="B13" s="27">
        <v>23</v>
      </c>
      <c r="C13" s="27">
        <v>98</v>
      </c>
      <c r="D13" s="27">
        <v>85</v>
      </c>
      <c r="E13" s="27">
        <v>31</v>
      </c>
      <c r="F13" s="27">
        <v>75</v>
      </c>
      <c r="G13" s="27">
        <v>81</v>
      </c>
      <c r="H13" s="27">
        <v>90</v>
      </c>
    </row>
    <row r="14" spans="2:8" x14ac:dyDescent="0.35">
      <c r="B14" s="27">
        <v>49</v>
      </c>
      <c r="C14" s="27">
        <v>90</v>
      </c>
      <c r="D14" s="27">
        <v>4</v>
      </c>
      <c r="E14" s="27">
        <v>34</v>
      </c>
      <c r="F14" s="27">
        <v>50</v>
      </c>
      <c r="G14" s="27">
        <v>95</v>
      </c>
      <c r="H14" s="27">
        <v>62</v>
      </c>
    </row>
    <row r="15" spans="2:8" x14ac:dyDescent="0.35">
      <c r="B15" s="27">
        <v>25</v>
      </c>
      <c r="C15" s="27">
        <v>68</v>
      </c>
      <c r="D15" s="27">
        <v>18</v>
      </c>
      <c r="E15" s="27">
        <v>32</v>
      </c>
      <c r="F15" s="27">
        <v>8</v>
      </c>
      <c r="G15" s="27">
        <v>16</v>
      </c>
      <c r="H15" s="27">
        <v>27</v>
      </c>
    </row>
    <row r="16" spans="2:8" x14ac:dyDescent="0.35">
      <c r="B16" s="27">
        <v>59</v>
      </c>
      <c r="C16" s="27">
        <v>3</v>
      </c>
      <c r="D16" s="27">
        <v>64</v>
      </c>
      <c r="E16" s="27">
        <v>49</v>
      </c>
      <c r="F16" s="27">
        <v>97</v>
      </c>
      <c r="G16" s="27">
        <v>61</v>
      </c>
      <c r="H16" s="27">
        <v>19</v>
      </c>
    </row>
    <row r="17" spans="2:8" x14ac:dyDescent="0.35">
      <c r="B17" s="27">
        <v>16</v>
      </c>
      <c r="C17" s="27">
        <v>20</v>
      </c>
      <c r="D17" s="27">
        <v>17</v>
      </c>
      <c r="E17" s="27">
        <v>46</v>
      </c>
      <c r="F17" s="27">
        <v>42</v>
      </c>
      <c r="G17" s="27">
        <v>49</v>
      </c>
      <c r="H17" s="27">
        <v>96</v>
      </c>
    </row>
    <row r="18" spans="2:8" x14ac:dyDescent="0.35">
      <c r="B18" s="27">
        <v>93</v>
      </c>
      <c r="C18" s="27">
        <v>93</v>
      </c>
      <c r="D18" s="27">
        <v>48</v>
      </c>
      <c r="E18" s="27">
        <v>31</v>
      </c>
      <c r="F18" s="27">
        <v>54</v>
      </c>
      <c r="G18" s="27">
        <v>32</v>
      </c>
      <c r="H18" s="27">
        <v>80</v>
      </c>
    </row>
    <row r="19" spans="2:8" x14ac:dyDescent="0.35">
      <c r="B19" s="27">
        <v>42</v>
      </c>
      <c r="C19" s="27">
        <v>41</v>
      </c>
      <c r="D19" s="27">
        <v>72</v>
      </c>
      <c r="E19" s="27">
        <v>11</v>
      </c>
      <c r="F19" s="27">
        <v>27</v>
      </c>
      <c r="G19" s="27">
        <v>97</v>
      </c>
      <c r="H19" s="27">
        <v>66</v>
      </c>
    </row>
    <row r="20" spans="2:8" x14ac:dyDescent="0.35">
      <c r="B20" s="27">
        <v>91</v>
      </c>
      <c r="C20" s="27">
        <v>42</v>
      </c>
      <c r="D20" s="27">
        <v>91</v>
      </c>
      <c r="E20" s="27">
        <v>13</v>
      </c>
      <c r="F20" s="27">
        <v>68</v>
      </c>
      <c r="G20" s="27">
        <v>96</v>
      </c>
      <c r="H20" s="27">
        <v>75</v>
      </c>
    </row>
    <row r="21" spans="2:8" x14ac:dyDescent="0.35">
      <c r="B21" s="27">
        <v>27</v>
      </c>
      <c r="C21" s="27">
        <v>32</v>
      </c>
      <c r="D21" s="27">
        <v>1</v>
      </c>
      <c r="E21" s="27">
        <v>11</v>
      </c>
      <c r="F21" s="27">
        <v>33</v>
      </c>
      <c r="G21" s="27">
        <v>60</v>
      </c>
      <c r="H21" s="27">
        <v>29</v>
      </c>
    </row>
    <row r="22" spans="2:8" x14ac:dyDescent="0.35">
      <c r="B22" s="27">
        <v>11</v>
      </c>
      <c r="C22" s="27">
        <v>68</v>
      </c>
      <c r="D22" s="27">
        <v>44</v>
      </c>
      <c r="E22" s="27">
        <v>30</v>
      </c>
      <c r="F22" s="27">
        <v>92</v>
      </c>
      <c r="G22" s="27">
        <v>79</v>
      </c>
      <c r="H22" s="27">
        <v>80</v>
      </c>
    </row>
    <row r="23" spans="2:8" x14ac:dyDescent="0.35">
      <c r="B23" s="27">
        <v>92</v>
      </c>
      <c r="C23" s="27">
        <v>40</v>
      </c>
      <c r="D23" s="27">
        <v>92</v>
      </c>
      <c r="E23" s="27">
        <v>62</v>
      </c>
      <c r="F23" s="27">
        <v>83</v>
      </c>
      <c r="G23" s="27">
        <v>7</v>
      </c>
      <c r="H23" s="27">
        <v>79</v>
      </c>
    </row>
    <row r="24" spans="2:8" x14ac:dyDescent="0.35">
      <c r="B24" s="27">
        <v>76</v>
      </c>
      <c r="C24" s="27">
        <v>19</v>
      </c>
      <c r="D24" s="27">
        <v>74</v>
      </c>
      <c r="E24" s="27">
        <v>40</v>
      </c>
      <c r="F24" s="27">
        <v>8</v>
      </c>
      <c r="G24" s="27">
        <v>47</v>
      </c>
      <c r="H24" s="27">
        <v>10</v>
      </c>
    </row>
    <row r="25" spans="2:8" x14ac:dyDescent="0.35">
      <c r="B25" s="27">
        <v>56</v>
      </c>
      <c r="C25" s="27">
        <v>68</v>
      </c>
      <c r="D25" s="27">
        <v>83</v>
      </c>
      <c r="E25" s="27">
        <v>79</v>
      </c>
      <c r="F25" s="27">
        <v>80</v>
      </c>
      <c r="G25" s="27">
        <v>43</v>
      </c>
      <c r="H25" s="27">
        <v>28</v>
      </c>
    </row>
    <row r="26" spans="2:8" x14ac:dyDescent="0.35">
      <c r="B26" s="27">
        <v>48</v>
      </c>
      <c r="C26" s="27">
        <v>10</v>
      </c>
      <c r="D26" s="27">
        <v>54</v>
      </c>
      <c r="E26" s="27">
        <v>52</v>
      </c>
      <c r="F26" s="27">
        <v>55</v>
      </c>
      <c r="G26" s="27">
        <v>60</v>
      </c>
      <c r="H26" s="27">
        <v>54</v>
      </c>
    </row>
    <row r="27" spans="2:8" x14ac:dyDescent="0.35">
      <c r="B27" s="27">
        <v>87</v>
      </c>
      <c r="C27" s="27">
        <v>67</v>
      </c>
      <c r="D27" s="27">
        <v>32</v>
      </c>
      <c r="E27" s="27">
        <v>92</v>
      </c>
      <c r="F27" s="27">
        <v>76</v>
      </c>
      <c r="G27" s="27">
        <v>51</v>
      </c>
      <c r="H27" s="27">
        <v>12</v>
      </c>
    </row>
    <row r="28" spans="2:8" x14ac:dyDescent="0.35">
      <c r="B28" s="27">
        <v>82</v>
      </c>
      <c r="C28" s="27">
        <v>10</v>
      </c>
      <c r="D28" s="27">
        <v>90</v>
      </c>
      <c r="E28" s="27">
        <v>63</v>
      </c>
      <c r="F28" s="27">
        <v>95</v>
      </c>
      <c r="G28" s="27">
        <v>92</v>
      </c>
      <c r="H28" s="27">
        <v>17</v>
      </c>
    </row>
    <row r="29" spans="2:8" x14ac:dyDescent="0.35">
      <c r="B29" s="27">
        <v>62</v>
      </c>
      <c r="C29" s="27">
        <v>14</v>
      </c>
      <c r="D29" s="27">
        <v>87</v>
      </c>
      <c r="E29" s="27">
        <v>7</v>
      </c>
      <c r="F29" s="27">
        <v>96</v>
      </c>
      <c r="G29" s="27">
        <v>30</v>
      </c>
      <c r="H29" s="27">
        <v>28</v>
      </c>
    </row>
    <row r="32" spans="2:8" ht="15" thickBot="1" x14ac:dyDescent="0.4"/>
    <row r="33" spans="2:3" ht="15" thickBot="1" x14ac:dyDescent="0.4">
      <c r="B33" s="7" t="s">
        <v>63</v>
      </c>
      <c r="C33" s="27"/>
    </row>
    <row r="34" spans="2:3" ht="15.5" thickTop="1" thickBot="1" x14ac:dyDescent="0.4">
      <c r="B34" s="6" t="s">
        <v>5</v>
      </c>
      <c r="C34" s="12"/>
    </row>
    <row r="35" spans="2:3" ht="15.5" thickTop="1" thickBot="1" x14ac:dyDescent="0.4">
      <c r="B35" s="27"/>
      <c r="C35" s="27"/>
    </row>
    <row r="36" spans="2:3" ht="15" thickBot="1" x14ac:dyDescent="0.4">
      <c r="B36" s="7" t="s">
        <v>64</v>
      </c>
      <c r="C36" s="24"/>
    </row>
    <row r="37" spans="2:3" ht="15.5" thickTop="1" thickBot="1" x14ac:dyDescent="0.4">
      <c r="B37" s="6" t="s">
        <v>5</v>
      </c>
      <c r="C37" s="12"/>
    </row>
    <row r="38" spans="2:3" ht="15" thickTop="1" x14ac:dyDescent="0.35"/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AAC735-9161-4F1F-828B-70E0BDAC5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2C3A86-86A4-4A8C-97AF-B50703FF4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Content</vt:lpstr>
      <vt:lpstr>SUM_RAW</vt:lpstr>
      <vt:lpstr>SUM_SOLVED</vt:lpstr>
      <vt:lpstr>COUNT_RAW</vt:lpstr>
      <vt:lpstr>COUNT_SOLVED</vt:lpstr>
      <vt:lpstr>COUNTA_RAW</vt:lpstr>
      <vt:lpstr>COUNTA_SOLVED</vt:lpstr>
      <vt:lpstr>AVERAGE_RAW</vt:lpstr>
      <vt:lpstr>MIN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2022-09-08T08:52:37Z</dcterms:modified>
</cp:coreProperties>
</file>