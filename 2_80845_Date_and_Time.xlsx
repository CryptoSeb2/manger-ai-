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https://miconline.sharepoint.com/sites/2209EADAConsumerApps/Documentos compartidos/General/Materiales/MIC MATERIAL/EXCEL/Session2/"/>
    </mc:Choice>
  </mc:AlternateContent>
  <xr:revisionPtr revIDLastSave="591" documentId="DC96F739583FF139F5313C5273DDB519A4592F25" xr6:coauthVersionLast="47" xr6:coauthVersionMax="47" xr10:uidLastSave="{3548AC29-0A03-430B-8CAA-4FB010BB5645}"/>
  <bookViews>
    <workbookView minimized="1" xWindow="-7065" yWindow="-21000" windowWidth="35250" windowHeight="21000" activeTab="2" xr2:uid="{94E20637-964E-4B5D-8062-F38D5D08CC22}"/>
  </bookViews>
  <sheets>
    <sheet name="Content" sheetId="51" r:id="rId1"/>
    <sheet name="Formato Condicional2_Solved" sheetId="43" state="hidden" r:id="rId2"/>
    <sheet name="Date &amp; Time" sheetId="77" r:id="rId3"/>
    <sheet name="Date&amp;Time_RAW" sheetId="78" r:id="rId4"/>
    <sheet name="Date&amp;Time_SOLVED" sheetId="72" r:id="rId5"/>
    <sheet name="what if" sheetId="15" state="hidden" r:id="rId6"/>
    <sheet name="What if2" sheetId="16" state="hidden" r:id="rId7"/>
  </sheets>
  <externalReferences>
    <externalReference r:id="rId8"/>
  </externalReferences>
  <definedNames>
    <definedName name="_xlnm._FilterDatabase" localSheetId="3" hidden="1">'Date&amp;Time_RAW'!$B$16:$N$102</definedName>
    <definedName name="_xlnm._FilterDatabase" localSheetId="4" hidden="1">'Date&amp;Time_SOLVED'!$B$16:$N$102</definedName>
    <definedName name="Apples" localSheetId="3">[1]!tbl_FruitType[Apples]</definedName>
    <definedName name="Apples">[1]!tbl_FruitType[Apples]</definedName>
    <definedName name="Bananas" localSheetId="3">[1]!tbl_FruitType6[Bananas]</definedName>
    <definedName name="Bananas">[1]!tbl_FruitType6[Bananas]</definedName>
    <definedName name="grp_WalkMeArrows">"shp_ArrowCurved,txt_WalkMeArrows,shp_ArrowStraight"</definedName>
    <definedName name="grp_WalkMeBrace">"shp_BraceBottom,txt_WalkMeBrace,shp_BraceLeft"</definedName>
    <definedName name="Lemons" localSheetId="3">[1]!tbl_FruitType5[Lemons]</definedName>
    <definedName name="Lemons">[1]!tbl_FruitType5[Lemons]</definedName>
    <definedName name="lst_Fruit" localSheetId="3">[1]!tbl_Fruit[Fruit]</definedName>
    <definedName name="lst_Fruit">[1]!tbl_Fruit[Fruit]</definedName>
    <definedName name="lst_FruitType" localSheetId="3">[1]!tbl_FruitType[Apples]</definedName>
    <definedName name="lst_FruitType">[1]!tbl_FruitType[Apples]</definedName>
    <definedName name="Oranges" localSheetId="3">[1]!tbl_FruitType4[Oranges]</definedName>
    <definedName name="Oranges">[1]!tbl_FruitType4[Oranges]</definedName>
    <definedName name="SalesTax">0.0825</definedName>
    <definedName name="Shipping">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7" i="77" l="1"/>
  <c r="R38" i="77"/>
  <c r="O42" i="77"/>
  <c r="O44" i="77" s="1"/>
  <c r="O40" i="77"/>
  <c r="O39" i="77"/>
  <c r="R39" i="77" s="1"/>
  <c r="O38" i="77"/>
  <c r="E8" i="72"/>
  <c r="E9" i="72" s="1"/>
  <c r="E10" i="72" s="1"/>
  <c r="O43" i="77" l="1"/>
  <c r="O45" i="77"/>
  <c r="R40" i="77" s="1"/>
  <c r="R37" i="77" s="1"/>
  <c r="E11" i="72"/>
  <c r="E12" i="72" s="1"/>
  <c r="D113" i="77"/>
  <c r="F20" i="77"/>
  <c r="H6" i="43" l="1"/>
  <c r="H7" i="43"/>
  <c r="H8" i="43"/>
  <c r="H9" i="43"/>
  <c r="H10" i="43"/>
  <c r="H11" i="43"/>
  <c r="H12" i="43"/>
  <c r="H13" i="43"/>
  <c r="H14" i="43"/>
  <c r="H15" i="43"/>
  <c r="H16" i="43"/>
  <c r="H17" i="43"/>
  <c r="H18" i="43"/>
  <c r="H19" i="43"/>
  <c r="H20" i="43"/>
  <c r="H21" i="43"/>
  <c r="H22" i="43"/>
  <c r="H23" i="43"/>
  <c r="H24" i="43"/>
  <c r="H25" i="43"/>
  <c r="H26" i="43"/>
  <c r="H27" i="43"/>
  <c r="H28" i="43"/>
  <c r="H29" i="43"/>
  <c r="D8" i="16" l="1"/>
  <c r="D21" i="15" l="1"/>
  <c r="D20" i="15"/>
  <c r="D22" i="15" l="1"/>
</calcChain>
</file>

<file path=xl/sharedStrings.xml><?xml version="1.0" encoding="utf-8"?>
<sst xmlns="http://schemas.openxmlformats.org/spreadsheetml/2006/main" count="142" uniqueCount="90">
  <si>
    <t>Amount</t>
  </si>
  <si>
    <t>Unit cost</t>
  </si>
  <si>
    <t>Unit Sales Price</t>
  </si>
  <si>
    <t>Sales</t>
  </si>
  <si>
    <t>Fix cost</t>
  </si>
  <si>
    <t>Total variable cost</t>
  </si>
  <si>
    <t>Total cost</t>
  </si>
  <si>
    <t>Total Income</t>
  </si>
  <si>
    <t>Benefits</t>
  </si>
  <si>
    <t>Goal seek</t>
  </si>
  <si>
    <t>Duration</t>
  </si>
  <si>
    <t>years</t>
  </si>
  <si>
    <t>Rate</t>
  </si>
  <si>
    <t>% per year</t>
  </si>
  <si>
    <t>Monthly payment</t>
  </si>
  <si>
    <t>Enero</t>
  </si>
  <si>
    <t>Febrero</t>
  </si>
  <si>
    <t>Marzo</t>
  </si>
  <si>
    <t>Abril</t>
  </si>
  <si>
    <t>Mayo</t>
  </si>
  <si>
    <t>Junio</t>
  </si>
  <si>
    <t>Julio</t>
  </si>
  <si>
    <t>Agosto</t>
  </si>
  <si>
    <t>Septiembre</t>
  </si>
  <si>
    <t>Octubre</t>
  </si>
  <si>
    <t>Noviembre</t>
  </si>
  <si>
    <t>Diciembre</t>
  </si>
  <si>
    <t>Limitaciones</t>
  </si>
  <si>
    <t>ID1</t>
  </si>
  <si>
    <t>Método</t>
  </si>
  <si>
    <t>Inconviente</t>
  </si>
  <si>
    <t>Iconos con referencias absolutas</t>
  </si>
  <si>
    <t>Debo crear tantos formatos como filas</t>
  </si>
  <si>
    <t xml:space="preserve">Iconos con Columna auxiliar con referencias numéricas </t>
  </si>
  <si>
    <t>Debo cosntruir otra columna</t>
  </si>
  <si>
    <t>Formato de celda con referencias relativas</t>
  </si>
  <si>
    <t>No puedo utilizar iconos</t>
  </si>
  <si>
    <t>Año</t>
  </si>
  <si>
    <t>Tipo</t>
  </si>
  <si>
    <t>Precio Público</t>
  </si>
  <si>
    <t>Tipo 1</t>
  </si>
  <si>
    <t>Tipo 2</t>
  </si>
  <si>
    <t>Tipo 3</t>
  </si>
  <si>
    <t>Tipo 4</t>
  </si>
  <si>
    <t>Tipo 5</t>
  </si>
  <si>
    <t>Precio Fabricación</t>
  </si>
  <si>
    <t>Precio Distribución</t>
  </si>
  <si>
    <t>Mes</t>
  </si>
  <si>
    <t>Ejemplo 3</t>
  </si>
  <si>
    <t>Objective</t>
  </si>
  <si>
    <t>Method</t>
  </si>
  <si>
    <t>Main Date functions</t>
  </si>
  <si>
    <t>Main Time functions</t>
  </si>
  <si>
    <t>Date and Time</t>
  </si>
  <si>
    <t>Date functions</t>
  </si>
  <si>
    <t>Today's date:</t>
  </si>
  <si>
    <t>Time functions</t>
  </si>
  <si>
    <t>Days until your birthday:</t>
  </si>
  <si>
    <t>Grace period days:</t>
  </si>
  <si>
    <t>Bill due on:</t>
  </si>
  <si>
    <t>Current Time:</t>
  </si>
  <si>
    <t>Daily Hours Worked</t>
  </si>
  <si>
    <t>Time In:</t>
  </si>
  <si>
    <t>Lunch Out:</t>
  </si>
  <si>
    <t>Lunch In:</t>
  </si>
  <si>
    <t>Time Out:</t>
  </si>
  <si>
    <t>Total Hours:</t>
  </si>
  <si>
    <t>Objective 1</t>
  </si>
  <si>
    <t>Objective 2</t>
  </si>
  <si>
    <t>Your next birthday:</t>
  </si>
  <si>
    <t>Month of your birthday</t>
  </si>
  <si>
    <t>Your birthday</t>
  </si>
  <si>
    <t>Year of your birthday</t>
  </si>
  <si>
    <t>Day of your birthday</t>
  </si>
  <si>
    <t>Date of your birthday</t>
  </si>
  <si>
    <t>Today date</t>
  </si>
  <si>
    <t>Date of the last day of the current month</t>
  </si>
  <si>
    <t>Last day of the current month</t>
  </si>
  <si>
    <t>Today day of the month</t>
  </si>
  <si>
    <t>Remaining days until the end of the current month</t>
  </si>
  <si>
    <t xml:space="preserve">EXERCISE
Obtain the number of days remanining until the end of the current month.
</t>
  </si>
  <si>
    <r>
      <t xml:space="preserve">. Use the functions </t>
    </r>
    <r>
      <rPr>
        <b/>
        <sz val="11"/>
        <color theme="1"/>
        <rFont val="Consolas"/>
        <family val="3"/>
      </rPr>
      <t>TODAY</t>
    </r>
    <r>
      <rPr>
        <sz val="11"/>
        <color theme="1"/>
        <rFont val="Consolas"/>
        <family val="3"/>
      </rPr>
      <t xml:space="preserve">, </t>
    </r>
    <r>
      <rPr>
        <b/>
        <sz val="11"/>
        <color theme="1"/>
        <rFont val="Consolas"/>
        <family val="3"/>
      </rPr>
      <t>DAY</t>
    </r>
    <r>
      <rPr>
        <sz val="11"/>
        <color theme="1"/>
        <rFont val="Consolas"/>
        <family val="3"/>
      </rPr>
      <t xml:space="preserve"> and </t>
    </r>
    <r>
      <rPr>
        <b/>
        <sz val="11"/>
        <color theme="1"/>
        <rFont val="Consolas"/>
        <family val="3"/>
      </rPr>
      <t>EOMONTH</t>
    </r>
    <r>
      <rPr>
        <sz val="11"/>
        <color theme="1"/>
        <rFont val="Consolas"/>
        <family val="3"/>
      </rPr>
      <t xml:space="preserve"> (a new one)
. Use the following steps to get to the answer</t>
    </r>
  </si>
  <si>
    <r>
      <t xml:space="preserve">EXERCISE
Obtain the </t>
    </r>
    <r>
      <rPr>
        <b/>
        <sz val="11"/>
        <color theme="1"/>
        <rFont val="Consolas"/>
        <family val="3"/>
      </rPr>
      <t>number of days remaining until the end of the current month</t>
    </r>
    <r>
      <rPr>
        <sz val="11"/>
        <color theme="1"/>
        <rFont val="Consolas"/>
        <family val="3"/>
      </rPr>
      <t xml:space="preserve">.
</t>
    </r>
  </si>
  <si>
    <t>Your Birthday</t>
  </si>
  <si>
    <t>Day</t>
  </si>
  <si>
    <t>Month</t>
  </si>
  <si>
    <t>Year</t>
  </si>
  <si>
    <t>Your next Birthday</t>
  </si>
  <si>
    <t>Today</t>
  </si>
  <si>
    <t>(Single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</si>
</sst>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quot;€&quot;#,##0.00_);[Red]\(&quot;€&quot;#,##0.00\)"/>
    <numFmt numFmtId="165" formatCode="_-* #,##0.00\ _€_-;\-* #,##0.00\ _€_-;_-* &quot;-&quot;??\ _€_-;_-@_-"/>
    <numFmt numFmtId="166" formatCode="#,##0.00\ &quot;€&quot;"/>
    <numFmt numFmtId="167" formatCode="_-* #,##0\ _€_-;\-* #,##0\ _€_-;_-* &quot;-&quot;??\ _€_-;_-@_-"/>
    <numFmt numFmtId="168" formatCode="[$-C0A]mmm\-yy;@"/>
    <numFmt numFmtId="169" formatCode="_(&quot;$&quot;* #,##0.00_);_(&quot;$&quot;* \(#,##0.00\);_(&quot;$&quot;* &quot;-&quot;??_);_(@_)"/>
    <numFmt numFmtId="170" formatCode="_(* #,##0.00_);_(* \(#,##0.00\);_(* &quot;-&quot;??_);_(@_)"/>
    <numFmt numFmtId="171" formatCode="mm/dd/yy;@"/>
    <numFmt numFmtId="172" formatCode="[$-409]h:mm:ss\ AM/PM;@"/>
    <numFmt numFmtId="173" formatCode="[$-409]h:mm\ AM/PM;@"/>
    <numFmt numFmtId="174" formatCode="m/d/yy;@"/>
  </numFmts>
  <fonts count="28" x14ac:knownFonts="1">
    <font>
      <sz val="11"/>
      <color theme="1"/>
      <name val="Calibri"/>
      <family val="2"/>
      <scheme val="minor"/>
    </font>
    <font>
      <sz val="11"/>
      <color theme="0"/>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b/>
      <sz val="11"/>
      <color rgb="FF006100"/>
      <name val="Calibri"/>
      <family val="2"/>
      <scheme val="minor"/>
    </font>
    <font>
      <sz val="20"/>
      <color theme="0"/>
      <name val="Calibri"/>
      <family val="2"/>
      <scheme val="minor"/>
    </font>
    <font>
      <sz val="10"/>
      <name val="Arial"/>
      <family val="2"/>
    </font>
    <font>
      <sz val="18"/>
      <color theme="8"/>
      <name val="Calibri"/>
      <family val="2"/>
    </font>
    <font>
      <b/>
      <sz val="18"/>
      <color theme="8"/>
      <name val="Calibri"/>
      <family val="2"/>
      <scheme val="minor"/>
    </font>
    <font>
      <b/>
      <sz val="20"/>
      <color theme="0" tint="-0.499984740745262"/>
      <name val="Calibri"/>
      <family val="2"/>
      <scheme val="minor"/>
    </font>
    <font>
      <b/>
      <sz val="16"/>
      <color theme="5"/>
      <name val="Calibri"/>
      <family val="2"/>
      <scheme val="minor"/>
    </font>
    <font>
      <sz val="16"/>
      <color theme="1"/>
      <name val="Calibri"/>
      <family val="2"/>
      <scheme val="minor"/>
    </font>
    <font>
      <b/>
      <sz val="14"/>
      <color theme="0" tint="-4.9989318521683403E-2"/>
      <name val="Calibri"/>
      <family val="2"/>
      <scheme val="minor"/>
    </font>
    <font>
      <b/>
      <sz val="11"/>
      <color theme="0"/>
      <name val="Calibri"/>
      <family val="2"/>
      <scheme val="minor"/>
    </font>
    <font>
      <b/>
      <sz val="11"/>
      <name val="Calibri"/>
      <family val="2"/>
      <scheme val="minor"/>
    </font>
    <font>
      <sz val="11"/>
      <name val="Calibri"/>
      <family val="2"/>
      <scheme val="minor"/>
    </font>
    <font>
      <sz val="11"/>
      <color theme="1"/>
      <name val="Consolas"/>
      <family val="3"/>
    </font>
    <font>
      <sz val="11"/>
      <color theme="1"/>
      <name val="Calibri"/>
      <family val="2"/>
    </font>
    <font>
      <sz val="11"/>
      <color theme="0"/>
      <name val="Calibri"/>
      <family val="2"/>
    </font>
    <font>
      <sz val="22"/>
      <color rgb="FF3B3838"/>
      <name val="Segoe UI Light"/>
      <family val="2"/>
    </font>
    <font>
      <b/>
      <sz val="11"/>
      <color theme="4"/>
      <name val="Segoe UI Black"/>
      <family val="2"/>
    </font>
    <font>
      <b/>
      <sz val="11"/>
      <color theme="1"/>
      <name val="Consolas"/>
      <family val="3"/>
    </font>
    <font>
      <sz val="11"/>
      <color rgb="FF00B050"/>
      <name val="Calibri"/>
      <family val="2"/>
    </font>
    <font>
      <i/>
      <sz val="11"/>
      <color rgb="FF00B050"/>
      <name val="Calibri"/>
      <family val="2"/>
    </font>
    <font>
      <i/>
      <sz val="11"/>
      <color theme="1"/>
      <name val="Calibri"/>
      <family val="2"/>
    </font>
    <font>
      <sz val="9"/>
      <color theme="1"/>
      <name val="Calibri"/>
      <family val="2"/>
    </font>
    <font>
      <sz val="8"/>
      <color theme="1"/>
      <name val="Calibri"/>
      <family val="2"/>
    </font>
  </fonts>
  <fills count="10">
    <fill>
      <patternFill patternType="none"/>
    </fill>
    <fill>
      <patternFill patternType="gray125"/>
    </fill>
    <fill>
      <patternFill patternType="solid">
        <fgColor rgb="FFC6EFCE"/>
      </patternFill>
    </fill>
    <fill>
      <patternFill patternType="solid">
        <fgColor theme="5"/>
      </patternFill>
    </fill>
    <fill>
      <patternFill patternType="solid">
        <fgColor theme="4"/>
        <bgColor indexed="64"/>
      </patternFill>
    </fill>
    <fill>
      <patternFill patternType="solid">
        <fgColor theme="5"/>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9"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style="thick">
        <color theme="4"/>
      </left>
      <right style="thick">
        <color theme="4"/>
      </right>
      <top style="thick">
        <color theme="4"/>
      </top>
      <bottom style="thick">
        <color theme="4"/>
      </bottom>
      <diagonal/>
    </border>
    <border>
      <left style="thin">
        <color theme="0" tint="-0.499984740745262"/>
      </left>
      <right/>
      <top style="thin">
        <color theme="0" tint="-0.499984740745262"/>
      </top>
      <bottom style="thin">
        <color theme="0" tint="-0.499984740745262"/>
      </bottom>
      <diagonal/>
    </border>
    <border>
      <left/>
      <right style="thin">
        <color rgb="FFB2B2B2"/>
      </right>
      <top style="thin">
        <color rgb="FFB2B2B2"/>
      </top>
      <bottom/>
      <diagonal/>
    </border>
  </borders>
  <cellStyleXfs count="15">
    <xf numFmtId="0" fontId="0" fillId="0" borderId="0"/>
    <xf numFmtId="165" fontId="2" fillId="0" borderId="0" applyFont="0" applyFill="0" applyBorder="0" applyAlignment="0" applyProtection="0"/>
    <xf numFmtId="0" fontId="3" fillId="2" borderId="0" applyNumberFormat="0" applyBorder="0" applyAlignment="0" applyProtection="0"/>
    <xf numFmtId="0" fontId="1" fillId="3" borderId="0" applyNumberFormat="0" applyBorder="0" applyAlignment="0" applyProtection="0"/>
    <xf numFmtId="9" fontId="2" fillId="0" borderId="0" applyFont="0" applyFill="0" applyBorder="0" applyAlignment="0" applyProtection="0"/>
    <xf numFmtId="168" fontId="2" fillId="0" borderId="0"/>
    <xf numFmtId="0" fontId="7" fillId="0" borderId="0"/>
    <xf numFmtId="169"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0" fontId="18" fillId="0" borderId="0"/>
    <xf numFmtId="0" fontId="1" fillId="6" borderId="0" applyNumberFormat="0" applyBorder="0" applyProtection="0"/>
    <xf numFmtId="0" fontId="2" fillId="7" borderId="0"/>
    <xf numFmtId="0" fontId="2" fillId="8" borderId="2"/>
    <xf numFmtId="0" fontId="2" fillId="7" borderId="5"/>
  </cellStyleXfs>
  <cellXfs count="67">
    <xf numFmtId="0" fontId="0" fillId="0" borderId="0" xfId="0"/>
    <xf numFmtId="0" fontId="0" fillId="0" borderId="0" xfId="0" applyAlignment="1">
      <alignment horizontal="center"/>
    </xf>
    <xf numFmtId="0" fontId="3" fillId="2" borderId="1" xfId="2" applyBorder="1"/>
    <xf numFmtId="166" fontId="0" fillId="0" borderId="1" xfId="0" applyNumberFormat="1" applyBorder="1"/>
    <xf numFmtId="167" fontId="0" fillId="0" borderId="1" xfId="1" applyNumberFormat="1" applyFont="1" applyBorder="1"/>
    <xf numFmtId="0" fontId="5" fillId="2" borderId="1" xfId="2" applyFont="1" applyBorder="1"/>
    <xf numFmtId="166" fontId="4" fillId="0" borderId="1" xfId="0" applyNumberFormat="1" applyFont="1" applyBorder="1"/>
    <xf numFmtId="0" fontId="6" fillId="3" borderId="0" xfId="3" applyFont="1"/>
    <xf numFmtId="0" fontId="3" fillId="2" borderId="1" xfId="2" applyBorder="1" applyAlignment="1">
      <alignment horizontal="left"/>
    </xf>
    <xf numFmtId="0" fontId="3" fillId="2" borderId="1" xfId="2" applyBorder="1" applyAlignment="1">
      <alignment horizontal="center"/>
    </xf>
    <xf numFmtId="0" fontId="0" fillId="0" borderId="1" xfId="0" applyBorder="1" applyAlignment="1">
      <alignment horizontal="left"/>
    </xf>
    <xf numFmtId="0" fontId="0" fillId="0" borderId="1" xfId="0" applyBorder="1" applyAlignment="1">
      <alignment horizontal="center"/>
    </xf>
    <xf numFmtId="0" fontId="3" fillId="2" borderId="1" xfId="2" applyNumberFormat="1" applyBorder="1" applyAlignment="1">
      <alignment horizontal="center"/>
    </xf>
    <xf numFmtId="0" fontId="4" fillId="0" borderId="1" xfId="0" applyFont="1" applyBorder="1" applyAlignment="1">
      <alignment horizontal="left"/>
    </xf>
    <xf numFmtId="164" fontId="4" fillId="0" borderId="1" xfId="0" applyNumberFormat="1" applyFont="1" applyBorder="1" applyAlignment="1">
      <alignment horizontal="center"/>
    </xf>
    <xf numFmtId="0" fontId="4" fillId="0" borderId="1" xfId="0" applyFont="1" applyBorder="1" applyAlignment="1">
      <alignment horizontal="center"/>
    </xf>
    <xf numFmtId="0" fontId="0" fillId="0" borderId="0" xfId="0" applyAlignment="1">
      <alignment horizontal="left"/>
    </xf>
    <xf numFmtId="9" fontId="0" fillId="0" borderId="0" xfId="4" applyFont="1"/>
    <xf numFmtId="0" fontId="0" fillId="0" borderId="0" xfId="0" applyAlignment="1">
      <alignment horizontal="left" vertical="center"/>
    </xf>
    <xf numFmtId="0" fontId="4" fillId="0" borderId="0" xfId="0" applyFont="1" applyAlignment="1">
      <alignment horizontal="left" vertical="center"/>
    </xf>
    <xf numFmtId="0" fontId="8" fillId="0" borderId="0" xfId="6" applyFont="1"/>
    <xf numFmtId="0" fontId="9" fillId="0" borderId="0" xfId="0" applyFont="1"/>
    <xf numFmtId="0" fontId="10" fillId="0" borderId="0" xfId="0" applyFont="1" applyAlignment="1">
      <alignment horizontal="center"/>
    </xf>
    <xf numFmtId="0" fontId="11" fillId="0" borderId="0" xfId="0" applyFont="1" applyAlignment="1">
      <alignment horizontal="center"/>
    </xf>
    <xf numFmtId="0" fontId="12" fillId="0" borderId="0" xfId="0" applyFont="1" applyAlignment="1">
      <alignment horizontal="center"/>
    </xf>
    <xf numFmtId="0" fontId="15" fillId="0" borderId="0" xfId="0" applyFont="1"/>
    <xf numFmtId="0" fontId="16" fillId="0" borderId="0" xfId="0" applyFont="1"/>
    <xf numFmtId="0" fontId="4" fillId="0" borderId="0" xfId="0" applyFont="1"/>
    <xf numFmtId="0" fontId="13" fillId="4" borderId="0" xfId="0" applyFont="1" applyFill="1" applyAlignment="1">
      <alignment vertical="top"/>
    </xf>
    <xf numFmtId="0" fontId="17" fillId="0" borderId="0" xfId="0" applyFont="1"/>
    <xf numFmtId="0" fontId="13" fillId="5" borderId="0" xfId="0" applyFont="1" applyFill="1" applyAlignment="1">
      <alignment horizontal="left" vertical="top"/>
    </xf>
    <xf numFmtId="0" fontId="13" fillId="5" borderId="0" xfId="0" applyFont="1" applyFill="1" applyAlignment="1">
      <alignment vertical="top"/>
    </xf>
    <xf numFmtId="0" fontId="18" fillId="0" borderId="0" xfId="10"/>
    <xf numFmtId="0" fontId="20" fillId="0" borderId="0" xfId="10" applyFont="1" applyAlignment="1">
      <alignment horizontal="centerContinuous" vertical="center"/>
    </xf>
    <xf numFmtId="0" fontId="18" fillId="0" borderId="0" xfId="10" applyAlignment="1">
      <alignment horizontal="centerContinuous"/>
    </xf>
    <xf numFmtId="0" fontId="2" fillId="7" borderId="3" xfId="12" applyBorder="1"/>
    <xf numFmtId="171" fontId="2" fillId="8" borderId="4" xfId="13" applyNumberFormat="1" applyBorder="1" applyAlignment="1">
      <alignment horizontal="right"/>
    </xf>
    <xf numFmtId="0" fontId="21" fillId="0" borderId="0" xfId="10" applyFont="1"/>
    <xf numFmtId="0" fontId="2" fillId="8" borderId="4" xfId="13" applyBorder="1"/>
    <xf numFmtId="172" fontId="2" fillId="8" borderId="4" xfId="13" applyNumberFormat="1" applyBorder="1" applyAlignment="1">
      <alignment horizontal="right"/>
    </xf>
    <xf numFmtId="173" fontId="2" fillId="8" borderId="4" xfId="13" applyNumberFormat="1" applyBorder="1"/>
    <xf numFmtId="0" fontId="19" fillId="0" borderId="0" xfId="10" applyFont="1"/>
    <xf numFmtId="0" fontId="2" fillId="7" borderId="7" xfId="12" applyBorder="1"/>
    <xf numFmtId="171" fontId="2" fillId="8" borderId="8" xfId="13" applyNumberFormat="1" applyBorder="1" applyAlignment="1">
      <alignment horizontal="right"/>
    </xf>
    <xf numFmtId="0" fontId="2" fillId="7" borderId="6" xfId="14" applyBorder="1"/>
    <xf numFmtId="0" fontId="14" fillId="4" borderId="0" xfId="11" applyFont="1" applyFill="1" applyAlignment="1">
      <alignment horizontal="centerContinuous"/>
    </xf>
    <xf numFmtId="0" fontId="2" fillId="8" borderId="4" xfId="13" applyBorder="1" applyAlignment="1">
      <alignment horizontal="right"/>
    </xf>
    <xf numFmtId="171" fontId="2" fillId="7" borderId="6" xfId="14" applyNumberFormat="1" applyBorder="1"/>
    <xf numFmtId="174" fontId="2" fillId="7" borderId="6" xfId="14" applyNumberFormat="1" applyBorder="1"/>
    <xf numFmtId="0" fontId="14" fillId="0" borderId="0" xfId="11" applyFont="1" applyFill="1" applyBorder="1" applyAlignment="1">
      <alignment horizontal="centerContinuous"/>
    </xf>
    <xf numFmtId="0" fontId="2" fillId="0" borderId="0" xfId="12" applyFill="1"/>
    <xf numFmtId="171" fontId="2" fillId="0" borderId="0" xfId="12" applyNumberFormat="1" applyFill="1"/>
    <xf numFmtId="173" fontId="2" fillId="0" borderId="0" xfId="12" applyNumberFormat="1" applyFill="1"/>
    <xf numFmtId="0" fontId="2" fillId="4" borderId="6" xfId="14" applyFill="1" applyBorder="1"/>
    <xf numFmtId="14" fontId="2" fillId="7" borderId="6" xfId="14" applyNumberFormat="1" applyBorder="1"/>
    <xf numFmtId="14" fontId="2" fillId="8" borderId="4" xfId="13" applyNumberFormat="1" applyBorder="1" applyAlignment="1">
      <alignment horizontal="right"/>
    </xf>
    <xf numFmtId="14" fontId="2" fillId="8" borderId="1" xfId="13" applyNumberFormat="1" applyBorder="1" applyAlignment="1">
      <alignment horizontal="right"/>
    </xf>
    <xf numFmtId="0" fontId="18" fillId="7" borderId="1" xfId="10" applyFill="1" applyBorder="1"/>
    <xf numFmtId="14" fontId="18" fillId="9" borderId="1" xfId="10" applyNumberFormat="1" applyFill="1" applyBorder="1"/>
    <xf numFmtId="14" fontId="18" fillId="7" borderId="1" xfId="10" applyNumberFormat="1" applyFill="1" applyBorder="1"/>
    <xf numFmtId="0" fontId="23" fillId="0" borderId="0" xfId="10" applyFont="1"/>
    <xf numFmtId="0" fontId="24" fillId="0" borderId="0" xfId="10" applyFont="1"/>
    <xf numFmtId="14" fontId="25" fillId="9" borderId="1" xfId="10" applyNumberFormat="1" applyFont="1" applyFill="1" applyBorder="1"/>
    <xf numFmtId="0" fontId="26" fillId="7" borderId="1" xfId="10" applyFont="1" applyFill="1" applyBorder="1"/>
    <xf numFmtId="0" fontId="27" fillId="7" borderId="1" xfId="10" applyFont="1" applyFill="1" applyBorder="1"/>
    <xf numFmtId="0" fontId="17" fillId="0" borderId="0" xfId="0" applyFont="1" applyAlignment="1">
      <alignment horizontal="left" vertical="top" wrapText="1"/>
    </xf>
    <xf numFmtId="0" fontId="17" fillId="0" borderId="0" xfId="0" applyFont="1" applyAlignment="1">
      <alignment horizontal="left" vertical="top"/>
    </xf>
  </cellXfs>
  <cellStyles count="15">
    <cellStyle name="Accent2" xfId="3" builtinId="33"/>
    <cellStyle name="Comma" xfId="1" builtinId="3"/>
    <cellStyle name="Good" xfId="2" builtinId="26"/>
    <cellStyle name="GrayCell" xfId="12" xr:uid="{536AB1B8-BA07-4E54-878C-5F45565A39B4}"/>
    <cellStyle name="Heading 3 2" xfId="11" xr:uid="{F6564F7D-76CA-454B-BAF1-5CC2D01424D9}"/>
    <cellStyle name="Millares 2" xfId="8" xr:uid="{00000000-0005-0000-0000-000004000000}"/>
    <cellStyle name="Moneda 2" xfId="7" xr:uid="{00000000-0005-0000-0000-000005000000}"/>
    <cellStyle name="Normal" xfId="0" builtinId="0"/>
    <cellStyle name="Normal 2" xfId="6" xr:uid="{00000000-0005-0000-0000-000007000000}"/>
    <cellStyle name="Normal 3" xfId="10" xr:uid="{85D8725A-19A0-4CDB-BB31-3F1862171068}"/>
    <cellStyle name="Normal 5" xfId="5" xr:uid="{00000000-0005-0000-0000-000008000000}"/>
    <cellStyle name="OrangeBorder" xfId="14" xr:uid="{A7E5E317-EC20-4376-9928-E306B575F405}"/>
    <cellStyle name="Percent" xfId="4" builtinId="5"/>
    <cellStyle name="Porcentaje 2" xfId="9" xr:uid="{00000000-0005-0000-0000-00000A000000}"/>
    <cellStyle name="YellowCell" xfId="13" xr:uid="{9CBFA150-0476-4F01-A105-DCEF87B7AB71}"/>
  </cellStyles>
  <dxfs count="11">
    <dxf>
      <font>
        <b/>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center" textRotation="0" wrapText="0" indent="0" justifyLastLine="0" shrinkToFit="0" readingOrder="0"/>
    </dxf>
    <dxf>
      <font>
        <b/>
        <i val="0"/>
        <color rgb="FF00B050"/>
      </font>
    </dxf>
    <dxf>
      <font>
        <b/>
        <i val="0"/>
        <color rgb="FFFFC000"/>
      </font>
    </dxf>
    <dxf>
      <font>
        <b/>
        <i val="0"/>
        <color rgb="FFFF0000"/>
      </font>
    </dxf>
    <dxf>
      <font>
        <b/>
        <i val="0"/>
        <color rgb="FF00B050"/>
      </font>
    </dxf>
    <dxf>
      <font>
        <b/>
        <i val="0"/>
        <color rgb="FFFFC000"/>
      </font>
    </dxf>
    <dxf>
      <font>
        <b/>
        <i val="0"/>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hyperlink" Target="https://go.microsoft.com/fwlink/?linkid=858252" TargetMode="External"/><Relationship Id="rId7" Type="http://schemas.openxmlformats.org/officeDocument/2006/relationships/hyperlink" Target="https://go.microsoft.com/fwlink/?linkid=858254" TargetMode="Externa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https://go.microsoft.com/fwlink/?linkid=858253" TargetMode="External"/><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3</xdr:row>
      <xdr:rowOff>9526</xdr:rowOff>
    </xdr:from>
    <xdr:to>
      <xdr:col>2</xdr:col>
      <xdr:colOff>381000</xdr:colOff>
      <xdr:row>11</xdr:row>
      <xdr:rowOff>73270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0615" y="712911"/>
          <a:ext cx="4227635" cy="15291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752475</xdr:colOff>
      <xdr:row>10</xdr:row>
      <xdr:rowOff>19050</xdr:rowOff>
    </xdr:from>
    <xdr:to>
      <xdr:col>12</xdr:col>
      <xdr:colOff>532457</xdr:colOff>
      <xdr:row>16</xdr:row>
      <xdr:rowOff>57002</xdr:rowOff>
    </xdr:to>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8458200" y="2219325"/>
          <a:ext cx="7542857" cy="11809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95250</xdr:colOff>
      <xdr:row>25</xdr:row>
      <xdr:rowOff>106693</xdr:rowOff>
    </xdr:from>
    <xdr:ext cx="3600450" cy="1487156"/>
    <xdr:grpSp>
      <xdr:nvGrpSpPr>
        <xdr:cNvPr id="2" name="GOOD TO KNOW"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6CD782D7-C3E9-4ED3-B52E-1C06E343FA29}"/>
            </a:ext>
          </a:extLst>
        </xdr:cNvPr>
        <xdr:cNvGrpSpPr/>
      </xdr:nvGrpSpPr>
      <xdr:grpSpPr>
        <a:xfrm>
          <a:off x="3280172" y="6711487"/>
          <a:ext cx="3600450" cy="1487156"/>
          <a:chOff x="6778625" y="15449519"/>
          <a:chExt cx="3432175" cy="1428432"/>
        </a:xfrm>
      </xdr:grpSpPr>
      <xdr:sp macro="" textlink="">
        <xdr:nvSpPr>
          <xdr:cNvPr id="3" name="Step"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CFDAC2E9-BC68-C553-C73D-BB6502C626FB}"/>
              </a:ext>
            </a:extLst>
          </xdr:cNvPr>
          <xdr:cNvSpPr txBox="1"/>
        </xdr:nvSpPr>
        <xdr:spPr>
          <a:xfrm>
            <a:off x="7042958" y="15665450"/>
            <a:ext cx="3167842" cy="1212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chemeClr val="accent1"/>
                </a:solidFill>
                <a:latin typeface="+mj-lt"/>
                <a:ea typeface="Segoe UI" pitchFamily="34" charset="0"/>
                <a:cs typeface="Segoe UI Light" panose="020B0502040204020203" pitchFamily="34" charset="0"/>
              </a:rPr>
              <a:t>GOOD TO KNOW</a:t>
            </a:r>
            <a:endParaRPr lang="en-US" sz="1200" b="1">
              <a:solidFill>
                <a:schemeClr val="accent1"/>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Excel keeps dates and times based on the number of days starting from January 1, 1900. Times are kept in fractional portions of a day based on minutes. So 01/01/2017 12:30 PM is actually stored as 42736.5208. If the Time or Date show up as numbers like that, then you can press </a:t>
            </a:r>
            <a:r>
              <a:rPr lang="en-US" sz="1100" b="1" i="0" kern="1200" baseline="0">
                <a:solidFill>
                  <a:schemeClr val="dk1"/>
                </a:solidFill>
                <a:effectLst/>
                <a:latin typeface="+mn-lt"/>
                <a:ea typeface="+mn-ea"/>
                <a:cs typeface="+mn-cs"/>
              </a:rPr>
              <a:t>Ctrl+1</a:t>
            </a:r>
            <a:r>
              <a:rPr lang="en-US" sz="1100" b="0" i="0" kern="1200" baseline="0">
                <a:solidFill>
                  <a:schemeClr val="dk1"/>
                </a:solidFill>
                <a:effectLst/>
                <a:latin typeface="+mn-lt"/>
                <a:ea typeface="+mn-ea"/>
                <a:cs typeface="+mn-cs"/>
              </a:rPr>
              <a:t> &gt; </a:t>
            </a:r>
            <a:r>
              <a:rPr lang="en-US" sz="1100" b="1" i="0" kern="1200" baseline="0">
                <a:solidFill>
                  <a:schemeClr val="dk1"/>
                </a:solidFill>
                <a:effectLst/>
                <a:latin typeface="+mn-lt"/>
                <a:ea typeface="+mn-ea"/>
                <a:cs typeface="+mn-cs"/>
              </a:rPr>
              <a:t>Number</a:t>
            </a:r>
            <a:r>
              <a:rPr lang="en-US" sz="1100" b="0" i="0" kern="1200" baseline="0">
                <a:solidFill>
                  <a:schemeClr val="dk1"/>
                </a:solidFill>
                <a:effectLst/>
                <a:latin typeface="+mn-lt"/>
                <a:ea typeface="+mn-ea"/>
                <a:cs typeface="+mn-cs"/>
              </a:rPr>
              <a:t> &gt; select a </a:t>
            </a:r>
            <a:r>
              <a:rPr lang="en-US" sz="1100" b="1" i="0" kern="1200" baseline="0">
                <a:solidFill>
                  <a:schemeClr val="dk1"/>
                </a:solidFill>
                <a:effectLst/>
                <a:latin typeface="+mn-lt"/>
                <a:ea typeface="+mn-ea"/>
                <a:cs typeface="+mn-cs"/>
              </a:rPr>
              <a:t>Date </a:t>
            </a:r>
            <a:r>
              <a:rPr lang="en-US" sz="1100" b="0" i="0" kern="1200" baseline="0">
                <a:solidFill>
                  <a:schemeClr val="dk1"/>
                </a:solidFill>
                <a:effectLst/>
                <a:latin typeface="+mn-lt"/>
                <a:ea typeface="+mn-ea"/>
                <a:cs typeface="+mn-cs"/>
              </a:rPr>
              <a:t>or </a:t>
            </a:r>
            <a:r>
              <a:rPr lang="en-US" sz="1100" b="1" i="0" kern="1200" baseline="0">
                <a:solidFill>
                  <a:schemeClr val="dk1"/>
                </a:solidFill>
                <a:effectLst/>
                <a:latin typeface="+mn-lt"/>
                <a:ea typeface="+mn-ea"/>
                <a:cs typeface="+mn-cs"/>
              </a:rPr>
              <a:t>Time </a:t>
            </a:r>
            <a:r>
              <a:rPr lang="en-US" sz="1100" b="0" i="0" kern="1200" baseline="0">
                <a:solidFill>
                  <a:schemeClr val="dk1"/>
                </a:solidFill>
                <a:effectLst/>
                <a:latin typeface="+mn-lt"/>
                <a:ea typeface="+mn-ea"/>
                <a:cs typeface="+mn-cs"/>
              </a:rPr>
              <a:t>format. </a:t>
            </a:r>
            <a:endParaRPr lang="en-US" sz="1100">
              <a:effectLst/>
              <a:latin typeface="+mn-lt"/>
            </a:endParaRPr>
          </a:p>
        </xdr:txBody>
      </xdr:sp>
      <xdr:pic>
        <xdr:nvPicPr>
          <xdr:cNvPr id="4" name="Graphic 147" descr="Glasses">
            <a:extLst>
              <a:ext uri="{FF2B5EF4-FFF2-40B4-BE49-F238E27FC236}">
                <a16:creationId xmlns:a16="http://schemas.microsoft.com/office/drawing/2014/main" id="{D490BC3F-55EB-0D34-3C36-D51EB754380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5" name="Freeform: Shape 4" descr="Arrrow">
            <a:extLst>
              <a:ext uri="{FF2B5EF4-FFF2-40B4-BE49-F238E27FC236}">
                <a16:creationId xmlns:a16="http://schemas.microsoft.com/office/drawing/2014/main" id="{65DA24F1-E135-CC8F-1982-E2F9327720FA}"/>
              </a:ext>
            </a:extLst>
          </xdr:cNvPr>
          <xdr:cNvSpPr/>
        </xdr:nvSpPr>
        <xdr:spPr>
          <a:xfrm rot="5953034" flipV="1">
            <a:off x="8309328" y="15426786"/>
            <a:ext cx="284005" cy="3294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1"/>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oneCellAnchor>
  <xdr:twoCellAnchor>
    <xdr:from>
      <xdr:col>2</xdr:col>
      <xdr:colOff>179</xdr:colOff>
      <xdr:row>2</xdr:row>
      <xdr:rowOff>9620</xdr:rowOff>
    </xdr:from>
    <xdr:to>
      <xdr:col>9</xdr:col>
      <xdr:colOff>57206</xdr:colOff>
      <xdr:row>16</xdr:row>
      <xdr:rowOff>132521</xdr:rowOff>
    </xdr:to>
    <xdr:grpSp>
      <xdr:nvGrpSpPr>
        <xdr:cNvPr id="6" name="Group 5">
          <a:extLst>
            <a:ext uri="{FF2B5EF4-FFF2-40B4-BE49-F238E27FC236}">
              <a16:creationId xmlns:a16="http://schemas.microsoft.com/office/drawing/2014/main" id="{11484309-55DF-494F-AFEB-EB3049CD3687}"/>
            </a:ext>
          </a:extLst>
        </xdr:cNvPr>
        <xdr:cNvGrpSpPr/>
      </xdr:nvGrpSpPr>
      <xdr:grpSpPr>
        <a:xfrm>
          <a:off x="3185101" y="363633"/>
          <a:ext cx="6873355" cy="4573060"/>
          <a:chOff x="342900" y="352425"/>
          <a:chExt cx="5734050" cy="3810000"/>
        </a:xfrm>
      </xdr:grpSpPr>
      <xdr:sp macro="" textlink="">
        <xdr:nvSpPr>
          <xdr:cNvPr id="7" name="txt_TourBackground" descr="Background">
            <a:extLst>
              <a:ext uri="{FF2B5EF4-FFF2-40B4-BE49-F238E27FC236}">
                <a16:creationId xmlns:a16="http://schemas.microsoft.com/office/drawing/2014/main" id="{5FC70F79-8F7F-B9C6-C85C-864ACAA09A78}"/>
              </a:ext>
            </a:extLst>
          </xdr:cNvPr>
          <xdr:cNvSpPr/>
        </xdr:nvSpPr>
        <xdr:spPr>
          <a:xfrm>
            <a:off x="342900" y="352425"/>
            <a:ext cx="5734050" cy="3810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8" name="txt_TourHeader" descr="Date functions">
            <a:extLst>
              <a:ext uri="{FF2B5EF4-FFF2-40B4-BE49-F238E27FC236}">
                <a16:creationId xmlns:a16="http://schemas.microsoft.com/office/drawing/2014/main" id="{EB07D75D-7450-AE2E-D4AB-1CFCFBC6171A}"/>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1" i="0" u="none" strike="noStrike" kern="0" cap="none" spc="0" normalizeH="0" baseline="0">
                <a:ln>
                  <a:noFill/>
                </a:ln>
                <a:solidFill>
                  <a:schemeClr val="accent1"/>
                </a:solidFill>
                <a:effectLst/>
                <a:uLnTx/>
                <a:uFillTx/>
                <a:latin typeface="Segoe UI Light" panose="020B0502040204020203" pitchFamily="34" charset="0"/>
                <a:ea typeface="Segoe UI" pitchFamily="34" charset="0"/>
                <a:cs typeface="Segoe UI Light" panose="020B0502040204020203" pitchFamily="34" charset="0"/>
              </a:rPr>
              <a:t>Date functions</a:t>
            </a:r>
            <a:endParaRPr kumimoji="0" lang="en-US" sz="2200" b="1" i="0" u="none" strike="noStrike" kern="0" cap="none" spc="0" normalizeH="0" baseline="0">
              <a:ln>
                <a:noFill/>
              </a:ln>
              <a:solidFill>
                <a:schemeClr val="accent1"/>
              </a:solidFill>
              <a:effectLst/>
              <a:uLnTx/>
              <a:uFillTx/>
              <a:latin typeface="Courier New" panose="02070309020205020404" pitchFamily="49" charset="0"/>
              <a:ea typeface="Segoe UI" pitchFamily="34" charset="0"/>
              <a:cs typeface="Courier New" panose="02070309020205020404" pitchFamily="49" charset="0"/>
            </a:endParaRPr>
          </a:p>
        </xdr:txBody>
      </xdr:sp>
      <xdr:sp macro="" textlink="">
        <xdr:nvSpPr>
          <xdr:cNvPr id="11" name="txt_TourIntro" descr="Excel can give you the current date, based on your computer's regional settings. You can also add and subtract Dates.&#10;">
            <a:extLst>
              <a:ext uri="{FF2B5EF4-FFF2-40B4-BE49-F238E27FC236}">
                <a16:creationId xmlns:a16="http://schemas.microsoft.com/office/drawing/2014/main" id="{8315D2A5-5A71-B293-F2D3-86BA59B887B1}"/>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date, based on your computer's regional settings. You can also add and subtract Dates.</a:t>
            </a:r>
          </a:p>
        </xdr:txBody>
      </xdr:sp>
      <xdr:grpSp>
        <xdr:nvGrpSpPr>
          <xdr:cNvPr id="12" name="grp_Step">
            <a:extLst>
              <a:ext uri="{FF2B5EF4-FFF2-40B4-BE49-F238E27FC236}">
                <a16:creationId xmlns:a16="http://schemas.microsoft.com/office/drawing/2014/main" id="{DEA8E18B-4DA5-CDDB-CE07-0FB236AB8625}"/>
              </a:ext>
            </a:extLst>
          </xdr:cNvPr>
          <xdr:cNvGrpSpPr/>
        </xdr:nvGrpSpPr>
        <xdr:grpSpPr>
          <a:xfrm>
            <a:off x="561975" y="1578606"/>
            <a:ext cx="5467350" cy="590396"/>
            <a:chOff x="600549" y="7810500"/>
            <a:chExt cx="5195285" cy="596207"/>
          </a:xfrm>
        </xdr:grpSpPr>
        <xdr:sp macro="" textlink="">
          <xdr:nvSpPr>
            <xdr:cNvPr id="19" name="txt_Step" descr="Check out the TODAY function, which gives you Today's date. These are live, or volatile functions, so when you open your workbook tomorrow, it will have tomorrow's date. Enter =TODAY() in cell D6. &#10;&#10;">
              <a:extLst>
                <a:ext uri="{FF2B5EF4-FFF2-40B4-BE49-F238E27FC236}">
                  <a16:creationId xmlns:a16="http://schemas.microsoft.com/office/drawing/2014/main" id="{BF468226-8B28-EF33-DFD1-558F15A0B87D}"/>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Check out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which gives you Today's date. These are live, or volatile functions, so when you open your workbook tomorrow, it will have tomorrow's date.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D20.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 name="shp_Step" descr="1">
              <a:extLst>
                <a:ext uri="{FF2B5EF4-FFF2-40B4-BE49-F238E27FC236}">
                  <a16:creationId xmlns:a16="http://schemas.microsoft.com/office/drawing/2014/main" id="{7C99FA9F-9241-36CC-BD62-EA99ED0C5E42}"/>
                </a:ext>
              </a:extLst>
            </xdr:cNvPr>
            <xdr:cNvSpPr/>
          </xdr:nvSpPr>
          <xdr:spPr>
            <a:xfrm>
              <a:off x="600549" y="7810500"/>
              <a:ext cx="372191" cy="366863"/>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3" name="grp_Step" descr="Subtract Dates - Enter your next birthday in MM/DD/YY format and watch Excel tell you how many days away it is by using =D7-D6.&#10;">
            <a:extLst>
              <a:ext uri="{FF2B5EF4-FFF2-40B4-BE49-F238E27FC236}">
                <a16:creationId xmlns:a16="http://schemas.microsoft.com/office/drawing/2014/main" id="{2A4F5932-689E-16BF-B25A-A797C40B334B}"/>
              </a:ext>
            </a:extLst>
          </xdr:cNvPr>
          <xdr:cNvGrpSpPr/>
        </xdr:nvGrpSpPr>
        <xdr:grpSpPr>
          <a:xfrm>
            <a:off x="561975" y="2409825"/>
            <a:ext cx="5448300" cy="615257"/>
            <a:chOff x="609600" y="7810500"/>
            <a:chExt cx="5186234" cy="596207"/>
          </a:xfrm>
        </xdr:grpSpPr>
        <xdr:sp macro="" textlink="">
          <xdr:nvSpPr>
            <xdr:cNvPr id="17" name="txt_Step" descr="Subtract Dates - Enter your next birthday in MM/DD/YY format in cell D7, and watch Excel tell you how many days away it is by using =D7-D6 in cell D8.&#10;&#10;">
              <a:extLst>
                <a:ext uri="{FF2B5EF4-FFF2-40B4-BE49-F238E27FC236}">
                  <a16:creationId xmlns:a16="http://schemas.microsoft.com/office/drawing/2014/main" id="{5D216B4A-F108-8C54-8516-0DF0AAAEEB4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 Dates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Enter your next birthday in MM/DD/YY format in cell D21, and watch Excel tell you how many days away it is by using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=D21-D20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D22.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8" name="shp_Step" descr="2">
              <a:extLst>
                <a:ext uri="{FF2B5EF4-FFF2-40B4-BE49-F238E27FC236}">
                  <a16:creationId xmlns:a16="http://schemas.microsoft.com/office/drawing/2014/main" id="{CEB1C8A6-1060-F709-4FBC-DA1A338E6272}"/>
                </a:ext>
              </a:extLst>
            </xdr:cNvPr>
            <xdr:cNvSpPr/>
          </xdr:nvSpPr>
          <xdr:spPr>
            <a:xfrm>
              <a:off x="609600" y="7810500"/>
              <a:ext cx="372191" cy="366863"/>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4" name="grp_Step">
            <a:extLst>
              <a:ext uri="{FF2B5EF4-FFF2-40B4-BE49-F238E27FC236}">
                <a16:creationId xmlns:a16="http://schemas.microsoft.com/office/drawing/2014/main" id="{7D65E218-4A0E-A2A5-F271-2ED206ABBE3C}"/>
              </a:ext>
            </a:extLst>
          </xdr:cNvPr>
          <xdr:cNvGrpSpPr/>
        </xdr:nvGrpSpPr>
        <xdr:grpSpPr>
          <a:xfrm>
            <a:off x="561977" y="3019425"/>
            <a:ext cx="5457825" cy="605732"/>
            <a:chOff x="627640" y="7810500"/>
            <a:chExt cx="5168194" cy="596207"/>
          </a:xfrm>
        </xdr:grpSpPr>
        <xdr:sp macro="" textlink="">
          <xdr:nvSpPr>
            <xdr:cNvPr id="15" name="txt_Step" descr="Add Dates - Let's say you want to know what date a bill is due, or when you need to return a library book. You can add days to a date to find out. In cell D10, enter a random number of days. In cell D11, we added =D6+D10 to calculate the due date from today.&#10;&#10;">
              <a:extLst>
                <a:ext uri="{FF2B5EF4-FFF2-40B4-BE49-F238E27FC236}">
                  <a16:creationId xmlns:a16="http://schemas.microsoft.com/office/drawing/2014/main" id="{FB17AE8E-9DE1-CC34-D80B-4358574C7D3C}"/>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Dates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Let's say you want to know what date a bill is due, or when you need to return a library book. You can add days to a date to find out. In cell D24, enter a random number of days. In cell D25, we added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=D20+D24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calculate the due date from today.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6" name="shp_Step" descr="3">
              <a:extLst>
                <a:ext uri="{FF2B5EF4-FFF2-40B4-BE49-F238E27FC236}">
                  <a16:creationId xmlns:a16="http://schemas.microsoft.com/office/drawing/2014/main" id="{1DE231BE-067F-B109-9BAF-34C6CBA23380}"/>
                </a:ext>
              </a:extLst>
            </xdr:cNvPr>
            <xdr:cNvSpPr/>
          </xdr:nvSpPr>
          <xdr:spPr>
            <a:xfrm>
              <a:off x="627640" y="7810500"/>
              <a:ext cx="372191" cy="366863"/>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xdr:from>
      <xdr:col>0</xdr:col>
      <xdr:colOff>301625</xdr:colOff>
      <xdr:row>133</xdr:row>
      <xdr:rowOff>139700</xdr:rowOff>
    </xdr:from>
    <xdr:to>
      <xdr:col>1</xdr:col>
      <xdr:colOff>5193538</xdr:colOff>
      <xdr:row>146</xdr:row>
      <xdr:rowOff>139700</xdr:rowOff>
    </xdr:to>
    <xdr:sp macro="" textlink="">
      <xdr:nvSpPr>
        <xdr:cNvPr id="60" name="Rectangle 59">
          <a:extLst>
            <a:ext uri="{FF2B5EF4-FFF2-40B4-BE49-F238E27FC236}">
              <a16:creationId xmlns:a16="http://schemas.microsoft.com/office/drawing/2014/main" id="{2055BCC3-02E6-B314-C615-9C946A321516}"/>
            </a:ext>
          </a:extLst>
        </xdr:cNvPr>
        <xdr:cNvSpPr/>
      </xdr:nvSpPr>
      <xdr:spPr>
        <a:xfrm>
          <a:off x="301625" y="24275222"/>
          <a:ext cx="5778152" cy="236882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xdr:from>
      <xdr:col>0</xdr:col>
      <xdr:colOff>560188</xdr:colOff>
      <xdr:row>134</xdr:row>
      <xdr:rowOff>42700</xdr:rowOff>
    </xdr:from>
    <xdr:to>
      <xdr:col>1</xdr:col>
      <xdr:colOff>4966370</xdr:colOff>
      <xdr:row>144</xdr:row>
      <xdr:rowOff>98536</xdr:rowOff>
    </xdr:to>
    <xdr:grpSp>
      <xdr:nvGrpSpPr>
        <xdr:cNvPr id="80" name="Group 79">
          <a:extLst>
            <a:ext uri="{FF2B5EF4-FFF2-40B4-BE49-F238E27FC236}">
              <a16:creationId xmlns:a16="http://schemas.microsoft.com/office/drawing/2014/main" id="{3F9A7172-A156-D6D0-667A-B5697E221211}"/>
            </a:ext>
          </a:extLst>
        </xdr:cNvPr>
        <xdr:cNvGrpSpPr/>
      </xdr:nvGrpSpPr>
      <xdr:grpSpPr>
        <a:xfrm>
          <a:off x="563363" y="29001875"/>
          <a:ext cx="2619848" cy="1841774"/>
          <a:chOff x="560027" y="12076611"/>
          <a:chExt cx="5289134" cy="1865205"/>
        </a:xfrm>
      </xdr:grpSpPr>
      <xdr:sp macro="" textlink="">
        <xdr:nvSpPr>
          <xdr:cNvPr id="61" name="Step" descr="More information on the web&#10;">
            <a:extLst>
              <a:ext uri="{FF2B5EF4-FFF2-40B4-BE49-F238E27FC236}">
                <a16:creationId xmlns:a16="http://schemas.microsoft.com/office/drawing/2014/main" id="{D6CFE53C-EFE1-420A-B4E8-BC60E24E5938}"/>
              </a:ext>
            </a:extLst>
          </xdr:cNvPr>
          <xdr:cNvSpPr txBox="1"/>
        </xdr:nvSpPr>
        <xdr:spPr>
          <a:xfrm>
            <a:off x="560027" y="12076611"/>
            <a:ext cx="5289134" cy="323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2" name="Straight Connector 61" descr="Decorative line">
            <a:extLst>
              <a:ext uri="{FF2B5EF4-FFF2-40B4-BE49-F238E27FC236}">
                <a16:creationId xmlns:a16="http://schemas.microsoft.com/office/drawing/2014/main" id="{BF7B9E7B-727B-46DC-3A17-6CBC6FE5521D}"/>
              </a:ext>
            </a:extLst>
          </xdr:cNvPr>
          <xdr:cNvCxnSpPr>
            <a:cxnSpLocks/>
          </xdr:cNvCxnSpPr>
        </xdr:nvCxnSpPr>
        <xdr:spPr>
          <a:xfrm>
            <a:off x="560027" y="12490030"/>
            <a:ext cx="528594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3" name="Straight Connector 62" descr="Decorative line">
            <a:extLst>
              <a:ext uri="{FF2B5EF4-FFF2-40B4-BE49-F238E27FC236}">
                <a16:creationId xmlns:a16="http://schemas.microsoft.com/office/drawing/2014/main" id="{615F0B3D-F64F-26FF-1989-83A4C4906924}"/>
              </a:ext>
            </a:extLst>
          </xdr:cNvPr>
          <xdr:cNvCxnSpPr>
            <a:cxnSpLocks/>
          </xdr:cNvCxnSpPr>
        </xdr:nvCxnSpPr>
        <xdr:spPr>
          <a:xfrm>
            <a:off x="560027" y="13941816"/>
            <a:ext cx="528594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64" name="Group 63">
            <a:extLst>
              <a:ext uri="{FF2B5EF4-FFF2-40B4-BE49-F238E27FC236}">
                <a16:creationId xmlns:a16="http://schemas.microsoft.com/office/drawing/2014/main" id="{B9FA471D-D03C-441D-8BF7-EBBA62D9895F}"/>
              </a:ext>
            </a:extLst>
          </xdr:cNvPr>
          <xdr:cNvGrpSpPr/>
        </xdr:nvGrpSpPr>
        <xdr:grpSpPr>
          <a:xfrm>
            <a:off x="571931" y="12573719"/>
            <a:ext cx="2904694" cy="343204"/>
            <a:chOff x="571931" y="13599244"/>
            <a:chExt cx="2866594" cy="359079"/>
          </a:xfrm>
        </xdr:grpSpPr>
        <xdr:sp macro="" textlink="">
          <xdr:nvSpPr>
            <xdr:cNvPr id="65" name="Step" descr="All about the TODAY function, Hyperlinked to web&#10;&#10;">
              <a:hlinkClick xmlns:r="http://schemas.openxmlformats.org/officeDocument/2006/relationships" r:id="rId3" tooltip="Select to learn all about the TODAY function on the web"/>
              <a:extLst>
                <a:ext uri="{FF2B5EF4-FFF2-40B4-BE49-F238E27FC236}">
                  <a16:creationId xmlns:a16="http://schemas.microsoft.com/office/drawing/2014/main" id="{62EF6DE7-302A-BAFA-1C06-37D8695F7440}"/>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TODAY</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66" name="Graphic 22" descr="Arrow">
              <a:hlinkClick xmlns:r="http://schemas.openxmlformats.org/officeDocument/2006/relationships" r:id="rId3" tooltip="Select to learn more from the web"/>
              <a:extLst>
                <a:ext uri="{FF2B5EF4-FFF2-40B4-BE49-F238E27FC236}">
                  <a16:creationId xmlns:a16="http://schemas.microsoft.com/office/drawing/2014/main" id="{C155CF4F-4AD4-4BA1-61B4-C222E73F70D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71931" y="13599244"/>
              <a:ext cx="492262" cy="359079"/>
            </a:xfrm>
            <a:prstGeom prst="rect">
              <a:avLst/>
            </a:prstGeom>
          </xdr:spPr>
        </xdr:pic>
      </xdr:grpSp>
      <xdr:grpSp>
        <xdr:nvGrpSpPr>
          <xdr:cNvPr id="67" name="Group 66">
            <a:extLst>
              <a:ext uri="{FF2B5EF4-FFF2-40B4-BE49-F238E27FC236}">
                <a16:creationId xmlns:a16="http://schemas.microsoft.com/office/drawing/2014/main" id="{8D677861-6B25-440A-B6AD-7B0DBFDB3D21}"/>
              </a:ext>
            </a:extLst>
          </xdr:cNvPr>
          <xdr:cNvGrpSpPr/>
        </xdr:nvGrpSpPr>
        <xdr:grpSpPr>
          <a:xfrm>
            <a:off x="571931" y="12963866"/>
            <a:ext cx="2930094" cy="345339"/>
            <a:chOff x="571931" y="14014791"/>
            <a:chExt cx="2895169" cy="364389"/>
          </a:xfrm>
        </xdr:grpSpPr>
        <xdr:sp macro="" textlink="">
          <xdr:nvSpPr>
            <xdr:cNvPr id="68" name="Step" descr="All about the NOW function, hyperlinked to web&#10;">
              <a:hlinkClick xmlns:r="http://schemas.openxmlformats.org/officeDocument/2006/relationships" r:id="rId6" tooltip="Select to learn all about the NOW function on the web"/>
              <a:extLst>
                <a:ext uri="{FF2B5EF4-FFF2-40B4-BE49-F238E27FC236}">
                  <a16:creationId xmlns:a16="http://schemas.microsoft.com/office/drawing/2014/main" id="{59784B3F-FFE6-7E9E-D5BD-9B54C0F96CB7}"/>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69" name="Graphic 22" descr="Arrow">
              <a:hlinkClick xmlns:r="http://schemas.openxmlformats.org/officeDocument/2006/relationships" r:id="rId6" tooltip="Select to learn more from the web"/>
              <a:extLst>
                <a:ext uri="{FF2B5EF4-FFF2-40B4-BE49-F238E27FC236}">
                  <a16:creationId xmlns:a16="http://schemas.microsoft.com/office/drawing/2014/main" id="{FEE05BF1-FB80-43A5-C0CD-BBEABE43DCE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71931" y="14014791"/>
              <a:ext cx="492262" cy="364389"/>
            </a:xfrm>
            <a:prstGeom prst="rect">
              <a:avLst/>
            </a:prstGeom>
          </xdr:spPr>
        </xdr:pic>
      </xdr:grpSp>
      <xdr:grpSp>
        <xdr:nvGrpSpPr>
          <xdr:cNvPr id="73" name="Group 72">
            <a:extLst>
              <a:ext uri="{FF2B5EF4-FFF2-40B4-BE49-F238E27FC236}">
                <a16:creationId xmlns:a16="http://schemas.microsoft.com/office/drawing/2014/main" id="{250EA52A-7064-4E9C-93E2-49E7A753A88A}"/>
              </a:ext>
            </a:extLst>
          </xdr:cNvPr>
          <xdr:cNvGrpSpPr/>
        </xdr:nvGrpSpPr>
        <xdr:grpSpPr>
          <a:xfrm>
            <a:off x="578281" y="13365673"/>
            <a:ext cx="2936444" cy="348514"/>
            <a:chOff x="581456" y="14435648"/>
            <a:chExt cx="2895169" cy="364389"/>
          </a:xfrm>
        </xdr:grpSpPr>
        <xdr:sp macro="" textlink="">
          <xdr:nvSpPr>
            <xdr:cNvPr id="74" name="Step" descr="All about the DATE function, hyperlinked to web&#10;">
              <a:hlinkClick xmlns:r="http://schemas.openxmlformats.org/officeDocument/2006/relationships" r:id="rId7" tooltip="Select to learn all about the DATE function on the web"/>
              <a:extLst>
                <a:ext uri="{FF2B5EF4-FFF2-40B4-BE49-F238E27FC236}">
                  <a16:creationId xmlns:a16="http://schemas.microsoft.com/office/drawing/2014/main" id="{114FF0E8-2A98-1C00-3C6F-7D15CEDF5BE4}"/>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75" name="Graphic 22" descr="Arrow">
              <a:hlinkClick xmlns:r="http://schemas.openxmlformats.org/officeDocument/2006/relationships" r:id="rId7" tooltip="Select to learn more from the web"/>
              <a:extLst>
                <a:ext uri="{FF2B5EF4-FFF2-40B4-BE49-F238E27FC236}">
                  <a16:creationId xmlns:a16="http://schemas.microsoft.com/office/drawing/2014/main" id="{9B709988-C8F6-8963-C013-A8AD174D67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81456" y="14435648"/>
              <a:ext cx="492262" cy="364389"/>
            </a:xfrm>
            <a:prstGeom prst="rect">
              <a:avLst/>
            </a:prstGeom>
          </xdr:spPr>
        </xdr:pic>
      </xdr:grpSp>
    </xdr:grpSp>
    <xdr:clientData/>
  </xdr:twoCellAnchor>
  <xdr:twoCellAnchor>
    <xdr:from>
      <xdr:col>2</xdr:col>
      <xdr:colOff>9525</xdr:colOff>
      <xdr:row>63</xdr:row>
      <xdr:rowOff>0</xdr:rowOff>
    </xdr:from>
    <xdr:to>
      <xdr:col>9</xdr:col>
      <xdr:colOff>63500</xdr:colOff>
      <xdr:row>97</xdr:row>
      <xdr:rowOff>162477</xdr:rowOff>
    </xdr:to>
    <xdr:grpSp>
      <xdr:nvGrpSpPr>
        <xdr:cNvPr id="83" name="Group 82">
          <a:extLst>
            <a:ext uri="{FF2B5EF4-FFF2-40B4-BE49-F238E27FC236}">
              <a16:creationId xmlns:a16="http://schemas.microsoft.com/office/drawing/2014/main" id="{48085F31-5A6B-C588-6BC8-7FB1B107BF39}"/>
            </a:ext>
          </a:extLst>
        </xdr:cNvPr>
        <xdr:cNvGrpSpPr/>
      </xdr:nvGrpSpPr>
      <xdr:grpSpPr>
        <a:xfrm>
          <a:off x="3191272" y="13549313"/>
          <a:ext cx="6876653" cy="8910395"/>
          <a:chOff x="6677025" y="8829675"/>
          <a:chExt cx="5768975" cy="7981950"/>
        </a:xfrm>
      </xdr:grpSpPr>
      <xdr:sp macro="" textlink="">
        <xdr:nvSpPr>
          <xdr:cNvPr id="82" name="txt_TourBackground" descr="Background">
            <a:extLst>
              <a:ext uri="{FF2B5EF4-FFF2-40B4-BE49-F238E27FC236}">
                <a16:creationId xmlns:a16="http://schemas.microsoft.com/office/drawing/2014/main" id="{0CCB996C-D9D7-4AC0-8B8A-99F86EF7D877}"/>
              </a:ext>
            </a:extLst>
          </xdr:cNvPr>
          <xdr:cNvSpPr/>
        </xdr:nvSpPr>
        <xdr:spPr>
          <a:xfrm>
            <a:off x="6677025" y="8829675"/>
            <a:ext cx="5768975" cy="79819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grpSp>
        <xdr:nvGrpSpPr>
          <xdr:cNvPr id="22" name="Group 21">
            <a:extLst>
              <a:ext uri="{FF2B5EF4-FFF2-40B4-BE49-F238E27FC236}">
                <a16:creationId xmlns:a16="http://schemas.microsoft.com/office/drawing/2014/main" id="{37BDEF46-FFA9-E6F9-F4FA-6DD452EBCD70}"/>
              </a:ext>
            </a:extLst>
          </xdr:cNvPr>
          <xdr:cNvGrpSpPr/>
        </xdr:nvGrpSpPr>
        <xdr:grpSpPr>
          <a:xfrm>
            <a:off x="6926194" y="8849954"/>
            <a:ext cx="5274739" cy="7513435"/>
            <a:chOff x="581025" y="4691062"/>
            <a:chExt cx="5230467" cy="7234238"/>
          </a:xfrm>
        </xdr:grpSpPr>
        <xdr:sp macro="" textlink="">
          <xdr:nvSpPr>
            <xdr:cNvPr id="26" name="txt_TourHeader" descr="Time functions">
              <a:extLst>
                <a:ext uri="{FF2B5EF4-FFF2-40B4-BE49-F238E27FC236}">
                  <a16:creationId xmlns:a16="http://schemas.microsoft.com/office/drawing/2014/main" id="{A0327086-26C2-6DFE-506E-2BF65CCC4C26}"/>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1" i="0" u="none" strike="noStrike" kern="0" cap="none" spc="0" normalizeH="0" baseline="0">
                  <a:ln>
                    <a:noFill/>
                  </a:ln>
                  <a:solidFill>
                    <a:schemeClr val="accent1"/>
                  </a:solidFill>
                  <a:effectLst/>
                  <a:uLnTx/>
                  <a:uFillTx/>
                  <a:latin typeface="Segoe UI Light" panose="020B0502040204020203" pitchFamily="34" charset="0"/>
                  <a:ea typeface="Segoe UI" pitchFamily="34" charset="0"/>
                  <a:cs typeface="Segoe UI Light" panose="020B0502040204020203" pitchFamily="34" charset="0"/>
                </a:rPr>
                <a:t>Time functions</a:t>
              </a:r>
            </a:p>
          </xdr:txBody>
        </xdr:sp>
        <xdr:sp macro="" textlink="">
          <xdr:nvSpPr>
            <xdr:cNvPr id="29" name="txt_TourIntro" descr="Excel can give you the current time, based on your computer's regional settings. You can also add and subtract times. For instance, you might need to keep track of how many hours an employee worked each week, and calculate their pay and overtime.&#10;&#10;">
              <a:extLst>
                <a:ext uri="{FF2B5EF4-FFF2-40B4-BE49-F238E27FC236}">
                  <a16:creationId xmlns:a16="http://schemas.microsoft.com/office/drawing/2014/main" id="{7F3838E2-4969-7B5E-B1FB-76209EF3A931}"/>
                </a:ext>
              </a:extLst>
            </xdr:cNvPr>
            <xdr:cNvSpPr txBox="1"/>
          </xdr:nvSpPr>
          <xdr:spPr>
            <a:xfrm>
              <a:off x="586111" y="5294308"/>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time, based on your computer's regional settings. You can also add and subtract times. For instance, you might need to keep track of how many hours an employee worked each week, and calculate their pay and overtime.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30" name="Group 29">
              <a:extLst>
                <a:ext uri="{FF2B5EF4-FFF2-40B4-BE49-F238E27FC236}">
                  <a16:creationId xmlns:a16="http://schemas.microsoft.com/office/drawing/2014/main" id="{7036D07C-DF71-7374-873E-2AD95DAFD8C5}"/>
                </a:ext>
              </a:extLst>
            </xdr:cNvPr>
            <xdr:cNvGrpSpPr/>
          </xdr:nvGrpSpPr>
          <xdr:grpSpPr>
            <a:xfrm>
              <a:off x="581025" y="6096000"/>
              <a:ext cx="5206583" cy="5829300"/>
              <a:chOff x="7200900" y="1143000"/>
              <a:chExt cx="5206583" cy="5829300"/>
            </a:xfrm>
          </xdr:grpSpPr>
          <xdr:grpSp>
            <xdr:nvGrpSpPr>
              <xdr:cNvPr id="31" name="grp_Step">
                <a:extLst>
                  <a:ext uri="{FF2B5EF4-FFF2-40B4-BE49-F238E27FC236}">
                    <a16:creationId xmlns:a16="http://schemas.microsoft.com/office/drawing/2014/main" id="{32DFA419-9D37-3A00-C440-49DE12A30718}"/>
                  </a:ext>
                </a:extLst>
              </xdr:cNvPr>
              <xdr:cNvGrpSpPr/>
            </xdr:nvGrpSpPr>
            <xdr:grpSpPr>
              <a:xfrm>
                <a:off x="7200900" y="1143000"/>
                <a:ext cx="5206583" cy="596207"/>
                <a:chOff x="495420" y="7810500"/>
                <a:chExt cx="5201275" cy="596207"/>
              </a:xfrm>
            </xdr:grpSpPr>
            <xdr:sp macro="" textlink="">
              <xdr:nvSpPr>
                <xdr:cNvPr id="53" name="txt_Step" descr="In cell D28, enter =NOW(), which will give the current time, and will update each time Excel calculates. If you need to change the Time format, you can go to Ctrl+1 &gt; Number &gt; Time &gt; Select the format you want.&#10;&#10;&#10;&#10;">
                  <a:extLst>
                    <a:ext uri="{FF2B5EF4-FFF2-40B4-BE49-F238E27FC236}">
                      <a16:creationId xmlns:a16="http://schemas.microsoft.com/office/drawing/2014/main" id="{FF1A9C7C-AFB8-37AC-BCE2-11C886821B0C}"/>
                    </a:ext>
                  </a:extLst>
                </xdr:cNvPr>
                <xdr:cNvSpPr txBox="1"/>
              </xdr:nvSpPr>
              <xdr:spPr>
                <a:xfrm>
                  <a:off x="918156"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D103,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will give the current time, and will update each time Excel calculates. If you need to change the Time format, you can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Select the format you want.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4" name="shp_Step" descr="1">
                  <a:extLst>
                    <a:ext uri="{FF2B5EF4-FFF2-40B4-BE49-F238E27FC236}">
                      <a16:creationId xmlns:a16="http://schemas.microsoft.com/office/drawing/2014/main" id="{96946ADD-99A5-F614-E333-7188CE201363}"/>
                    </a:ext>
                  </a:extLst>
                </xdr:cNvPr>
                <xdr:cNvSpPr/>
              </xdr:nvSpPr>
              <xdr:spPr>
                <a:xfrm>
                  <a:off x="495420" y="7810500"/>
                  <a:ext cx="372191" cy="366863"/>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32" name="grp_Step">
                <a:extLst>
                  <a:ext uri="{FF2B5EF4-FFF2-40B4-BE49-F238E27FC236}">
                    <a16:creationId xmlns:a16="http://schemas.microsoft.com/office/drawing/2014/main" id="{911BC4F7-5B8C-050C-D052-50FF3D30B50E}"/>
                  </a:ext>
                </a:extLst>
              </xdr:cNvPr>
              <xdr:cNvGrpSpPr/>
            </xdr:nvGrpSpPr>
            <xdr:grpSpPr>
              <a:xfrm>
                <a:off x="7200900" y="1844648"/>
                <a:ext cx="5159775" cy="593032"/>
                <a:chOff x="525612" y="7419975"/>
                <a:chExt cx="5511381" cy="567632"/>
              </a:xfrm>
            </xdr:grpSpPr>
            <xdr:sp macro="" textlink="">
              <xdr:nvSpPr>
                <xdr:cNvPr id="51" name="txt_Step" descr="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10;&#10;&#10;">
                  <a:extLst>
                    <a:ext uri="{FF2B5EF4-FFF2-40B4-BE49-F238E27FC236}">
                      <a16:creationId xmlns:a16="http://schemas.microsoft.com/office/drawing/2014/main" id="{29C4EC4D-5D55-8336-0136-15EF3C3629B2}"/>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up hours between times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D36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((D110-D107)-(D109-D108))*24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calculates someone's start and end times, then subracts the time they took for lunch. The *24 at the end of the formula converts the fractional portion of the day that Excel sees into hours. You'll need to format the cell as a Number though. To do that,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Cells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decimals.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2" name="shp_Step" descr="2">
                  <a:extLst>
                    <a:ext uri="{FF2B5EF4-FFF2-40B4-BE49-F238E27FC236}">
                      <a16:creationId xmlns:a16="http://schemas.microsoft.com/office/drawing/2014/main" id="{04C28C69-BE39-18C9-1EA8-1364BDB8C630}"/>
                    </a:ext>
                  </a:extLst>
                </xdr:cNvPr>
                <xdr:cNvSpPr/>
              </xdr:nvSpPr>
              <xdr:spPr>
                <a:xfrm>
                  <a:off x="525612" y="7419975"/>
                  <a:ext cx="394065" cy="3492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33" name="grp_Step">
                <a:extLst>
                  <a:ext uri="{FF2B5EF4-FFF2-40B4-BE49-F238E27FC236}">
                    <a16:creationId xmlns:a16="http://schemas.microsoft.com/office/drawing/2014/main" id="{F5C398A2-33ED-9D42-68AE-133B6532FCCC}"/>
                  </a:ext>
                </a:extLst>
              </xdr:cNvPr>
              <xdr:cNvGrpSpPr/>
            </xdr:nvGrpSpPr>
            <xdr:grpSpPr>
              <a:xfrm>
                <a:off x="7200900" y="3157541"/>
                <a:ext cx="5159775" cy="593032"/>
                <a:chOff x="525612" y="7419975"/>
                <a:chExt cx="5511381" cy="567632"/>
              </a:xfrm>
            </xdr:grpSpPr>
            <xdr:sp macro="" textlink="">
              <xdr:nvSpPr>
                <xdr:cNvPr id="49" name="txt_Step" descr="If this formula could talk, it would say, &quot;Take the Time Out and subtract it from the Time In, then subtract the Lunch Out/In Times, then multiply those by 24 to convert Excel's fractional time to hours&quot;, or =((Time In - Time Out)-(Lunch In - Lunch Out))*24.">
                  <a:extLst>
                    <a:ext uri="{FF2B5EF4-FFF2-40B4-BE49-F238E27FC236}">
                      <a16:creationId xmlns:a16="http://schemas.microsoft.com/office/drawing/2014/main" id="{42B7F384-326F-7415-573B-9535C0EE9436}"/>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this formula could talk, it would say, "Take the Time Out and subtract it from the Time In, then subtract the Lunch Out/In Times, then multiply those by 24 to convert Excel's fractional time to hours", 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In - Time Out)-(Lunch In - Lunch Out))*24.</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0" name="shp_Step" descr="3">
                  <a:extLst>
                    <a:ext uri="{FF2B5EF4-FFF2-40B4-BE49-F238E27FC236}">
                      <a16:creationId xmlns:a16="http://schemas.microsoft.com/office/drawing/2014/main" id="{F8F1BC2C-70D8-C015-62C3-888313A8D440}"/>
                    </a:ext>
                  </a:extLst>
                </xdr:cNvPr>
                <xdr:cNvSpPr/>
              </xdr:nvSpPr>
              <xdr:spPr>
                <a:xfrm>
                  <a:off x="525612" y="7419975"/>
                  <a:ext cx="394065" cy="3492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34" name="Group 33">
                <a:extLst>
                  <a:ext uri="{FF2B5EF4-FFF2-40B4-BE49-F238E27FC236}">
                    <a16:creationId xmlns:a16="http://schemas.microsoft.com/office/drawing/2014/main" id="{1EE819F7-370A-135C-ED00-85A11E001B12}"/>
                  </a:ext>
                </a:extLst>
              </xdr:cNvPr>
              <xdr:cNvGrpSpPr/>
            </xdr:nvGrpSpPr>
            <xdr:grpSpPr>
              <a:xfrm>
                <a:off x="7858134" y="4000501"/>
                <a:ext cx="4371970" cy="2971799"/>
                <a:chOff x="7777163" y="4047523"/>
                <a:chExt cx="4653382" cy="2819576"/>
              </a:xfrm>
            </xdr:grpSpPr>
            <xdr:sp macro="" textlink="">
              <xdr:nvSpPr>
                <xdr:cNvPr id="35" name="FormulaBraceLower">
                  <a:extLst>
                    <a:ext uri="{FF2B5EF4-FFF2-40B4-BE49-F238E27FC236}">
                      <a16:creationId xmlns:a16="http://schemas.microsoft.com/office/drawing/2014/main" id="{578F74E1-1F96-3486-8DF7-9D9152E8C978}"/>
                    </a:ext>
                  </a:extLst>
                </xdr:cNvPr>
                <xdr:cNvSpPr/>
              </xdr:nvSpPr>
              <xdr:spPr>
                <a:xfrm rot="16200000">
                  <a:off x="8913239" y="5096707"/>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36" name="FormulaBraceUpper">
                  <a:extLst>
                    <a:ext uri="{FF2B5EF4-FFF2-40B4-BE49-F238E27FC236}">
                      <a16:creationId xmlns:a16="http://schemas.microsoft.com/office/drawing/2014/main" id="{E633180D-4740-251E-BA5F-3A2ED22F70E9}"/>
                    </a:ext>
                  </a:extLst>
                </xdr:cNvPr>
                <xdr:cNvSpPr/>
              </xdr:nvSpPr>
              <xdr:spPr>
                <a:xfrm rot="5400000">
                  <a:off x="11248263" y="449196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37" name="FormulaBraceUpper">
                  <a:extLst>
                    <a:ext uri="{FF2B5EF4-FFF2-40B4-BE49-F238E27FC236}">
                      <a16:creationId xmlns:a16="http://schemas.microsoft.com/office/drawing/2014/main" id="{74D5BB20-9CCA-194B-9F59-E8DCB1D1440B}"/>
                    </a:ext>
                  </a:extLst>
                </xdr:cNvPr>
                <xdr:cNvSpPr/>
              </xdr:nvSpPr>
              <xdr:spPr>
                <a:xfrm rot="5400000">
                  <a:off x="8181378" y="447895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38" name="txt_Formula" descr="=((D35-D32)-(D34-D33))*24&#10;">
                  <a:extLst>
                    <a:ext uri="{FF2B5EF4-FFF2-40B4-BE49-F238E27FC236}">
                      <a16:creationId xmlns:a16="http://schemas.microsoft.com/office/drawing/2014/main" id="{F0EC744A-120B-F856-6982-20AD904C9235}"/>
                    </a:ext>
                  </a:extLst>
                </xdr:cNvPr>
                <xdr:cNvSpPr txBox="1"/>
              </xdr:nvSpPr>
              <xdr:spPr>
                <a:xfrm>
                  <a:off x="7777163" y="4886325"/>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=((D110-D107)-(D109-D108))*24</a:t>
                  </a:r>
                  <a:endParaRPr lang="en-US" sz="2000">
                    <a:effectLst/>
                    <a:latin typeface="Times New Roman" panose="02020603050405020304" pitchFamily="18" charset="0"/>
                    <a:ea typeface="Times New Roman" panose="02020603050405020304" pitchFamily="18" charset="0"/>
                  </a:endParaRPr>
                </a:p>
              </xdr:txBody>
            </xdr:sp>
            <xdr:sp macro="" textlink="">
              <xdr:nvSpPr>
                <xdr:cNvPr id="39" name="txt_FormulaCalloutUpper" descr="Time Out&#10;&#10;">
                  <a:extLst>
                    <a:ext uri="{FF2B5EF4-FFF2-40B4-BE49-F238E27FC236}">
                      <a16:creationId xmlns:a16="http://schemas.microsoft.com/office/drawing/2014/main" id="{58C07A84-AEED-EF67-B955-63AB03475348}"/>
                    </a:ext>
                  </a:extLst>
                </xdr:cNvPr>
                <xdr:cNvSpPr txBox="1">
                  <a:spLocks noChangeArrowheads="1"/>
                </xdr:cNvSpPr>
              </xdr:nvSpPr>
              <xdr:spPr bwMode="auto">
                <a:xfrm>
                  <a:off x="8039714" y="4338638"/>
                  <a:ext cx="893188"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Out</a:t>
                  </a:r>
                </a:p>
              </xdr:txBody>
            </xdr:sp>
            <xdr:sp macro="" textlink="">
              <xdr:nvSpPr>
                <xdr:cNvPr id="40" name="txt_FormulaCalloutUpper" descr="*24 to convert Excel's fraction of a day to hours&#10;&#10;">
                  <a:extLst>
                    <a:ext uri="{FF2B5EF4-FFF2-40B4-BE49-F238E27FC236}">
                      <a16:creationId xmlns:a16="http://schemas.microsoft.com/office/drawing/2014/main" id="{404363A6-7221-CA5C-5899-51C8F60ABA53}"/>
                    </a:ext>
                  </a:extLst>
                </xdr:cNvPr>
                <xdr:cNvSpPr txBox="1">
                  <a:spLocks noChangeArrowheads="1"/>
                </xdr:cNvSpPr>
              </xdr:nvSpPr>
              <xdr:spPr bwMode="auto">
                <a:xfrm>
                  <a:off x="10763670" y="404752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*24 to convert Excel's fraction of a day to hours</a:t>
                  </a:r>
                </a:p>
              </xdr:txBody>
            </xdr:sp>
            <xdr:sp macro="" textlink="">
              <xdr:nvSpPr>
                <xdr:cNvPr id="41" name="txt_FormulaCalloutLower" descr="Time In&#10;">
                  <a:extLst>
                    <a:ext uri="{FF2B5EF4-FFF2-40B4-BE49-F238E27FC236}">
                      <a16:creationId xmlns:a16="http://schemas.microsoft.com/office/drawing/2014/main" id="{7B39C972-5FFE-7996-FFF4-1BD340061700}"/>
                    </a:ext>
                  </a:extLst>
                </xdr:cNvPr>
                <xdr:cNvSpPr txBox="1">
                  <a:spLocks noChangeArrowheads="1"/>
                </xdr:cNvSpPr>
              </xdr:nvSpPr>
              <xdr:spPr bwMode="auto">
                <a:xfrm>
                  <a:off x="8781582" y="5447441"/>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In</a:t>
                  </a:r>
                </a:p>
              </xdr:txBody>
            </xdr:sp>
            <xdr:sp macro="" textlink="">
              <xdr:nvSpPr>
                <xdr:cNvPr id="42" name="FormulaBraceLower">
                  <a:extLst>
                    <a:ext uri="{FF2B5EF4-FFF2-40B4-BE49-F238E27FC236}">
                      <a16:creationId xmlns:a16="http://schemas.microsoft.com/office/drawing/2014/main" id="{60D5E576-000A-1BC5-6E4F-F4762E66F30F}"/>
                    </a:ext>
                  </a:extLst>
                </xdr:cNvPr>
                <xdr:cNvSpPr/>
              </xdr:nvSpPr>
              <xdr:spPr>
                <a:xfrm rot="16200000">
                  <a:off x="10541562" y="511098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43" name="FormulaBraceUpper">
                  <a:extLst>
                    <a:ext uri="{FF2B5EF4-FFF2-40B4-BE49-F238E27FC236}">
                      <a16:creationId xmlns:a16="http://schemas.microsoft.com/office/drawing/2014/main" id="{269E4726-9EAB-C5C1-4127-B0DC2635455A}"/>
                    </a:ext>
                  </a:extLst>
                </xdr:cNvPr>
                <xdr:cNvSpPr/>
              </xdr:nvSpPr>
              <xdr:spPr>
                <a:xfrm rot="5400000">
                  <a:off x="9782312" y="4493231"/>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44" name="txt_FormulaCalloutUpper" descr="Lunch  Out&#10;">
                  <a:extLst>
                    <a:ext uri="{FF2B5EF4-FFF2-40B4-BE49-F238E27FC236}">
                      <a16:creationId xmlns:a16="http://schemas.microsoft.com/office/drawing/2014/main" id="{CDA8B87A-6CC5-8E28-05FD-35839FE0C8E2}"/>
                    </a:ext>
                  </a:extLst>
                </xdr:cNvPr>
                <xdr:cNvSpPr txBox="1">
                  <a:spLocks noChangeArrowheads="1"/>
                </xdr:cNvSpPr>
              </xdr:nvSpPr>
              <xdr:spPr bwMode="auto">
                <a:xfrm>
                  <a:off x="9652708" y="4352914"/>
                  <a:ext cx="906942"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Out</a:t>
                  </a:r>
                </a:p>
              </xdr:txBody>
            </xdr:sp>
            <xdr:sp macro="" textlink="">
              <xdr:nvSpPr>
                <xdr:cNvPr id="45" name="txt_FormulaCalloutLower" descr="Lunch In&#10;&#10;">
                  <a:extLst>
                    <a:ext uri="{FF2B5EF4-FFF2-40B4-BE49-F238E27FC236}">
                      <a16:creationId xmlns:a16="http://schemas.microsoft.com/office/drawing/2014/main" id="{03DCEC2F-8A1C-6362-BD7D-C4C6BFE977F6}"/>
                    </a:ext>
                  </a:extLst>
                </xdr:cNvPr>
                <xdr:cNvSpPr txBox="1">
                  <a:spLocks noChangeArrowheads="1"/>
                </xdr:cNvSpPr>
              </xdr:nvSpPr>
              <xdr:spPr bwMode="auto">
                <a:xfrm>
                  <a:off x="10409905" y="5461717"/>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In</a:t>
                  </a:r>
                </a:p>
              </xdr:txBody>
            </xdr:sp>
            <xdr:sp macro="" textlink="">
              <xdr:nvSpPr>
                <xdr:cNvPr id="46" name="FormulaBraceLower">
                  <a:extLst>
                    <a:ext uri="{FF2B5EF4-FFF2-40B4-BE49-F238E27FC236}">
                      <a16:creationId xmlns:a16="http://schemas.microsoft.com/office/drawing/2014/main" id="{B032447B-072F-C4BF-08C3-835763FEBACD}"/>
                    </a:ext>
                  </a:extLst>
                </xdr:cNvPr>
                <xdr:cNvSpPr/>
              </xdr:nvSpPr>
              <xdr:spPr>
                <a:xfrm rot="16200000">
                  <a:off x="8659276" y="551114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47" name="FormulaBraceLower">
                  <a:extLst>
                    <a:ext uri="{FF2B5EF4-FFF2-40B4-BE49-F238E27FC236}">
                      <a16:creationId xmlns:a16="http://schemas.microsoft.com/office/drawing/2014/main" id="{5452F69A-46EE-9617-D59A-9AEFD64C9BC9}"/>
                    </a:ext>
                  </a:extLst>
                </xdr:cNvPr>
                <xdr:cNvSpPr/>
              </xdr:nvSpPr>
              <xdr:spPr>
                <a:xfrm rot="16200000">
                  <a:off x="10208905" y="5506379"/>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48" name="txt_FormulaCalloutLowe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AAEAE7C8-EC12-1EAF-FCAD-F69CBE8AD819}"/>
                    </a:ext>
                  </a:extLst>
                </xdr:cNvPr>
                <xdr:cNvSpPr txBox="1">
                  <a:spLocks noChangeArrowheads="1"/>
                </xdr:cNvSpPr>
              </xdr:nvSpPr>
              <xdr:spPr bwMode="auto">
                <a:xfrm>
                  <a:off x="7977201" y="6276974"/>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inner parentheses () make sure Excel calculates those                                   parts of the formula by themselves. The outer parentheses make sure Excel multiplies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final inner result by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grpSp>
    <xdr:clientData/>
  </xdr:twoCellAnchor>
  <xdr:oneCellAnchor>
    <xdr:from>
      <xdr:col>5</xdr:col>
      <xdr:colOff>106708</xdr:colOff>
      <xdr:row>51</xdr:row>
      <xdr:rowOff>122016</xdr:rowOff>
    </xdr:from>
    <xdr:ext cx="3600450" cy="926700"/>
    <xdr:grpSp>
      <xdr:nvGrpSpPr>
        <xdr:cNvPr id="84" name="GOOD TO KNOW"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510B28-EE07-984E-CAD8-015E0F389ABE}"/>
            </a:ext>
          </a:extLst>
        </xdr:cNvPr>
        <xdr:cNvGrpSpPr/>
      </xdr:nvGrpSpPr>
      <xdr:grpSpPr>
        <a:xfrm>
          <a:off x="6562674" y="11519472"/>
          <a:ext cx="3600450" cy="926700"/>
          <a:chOff x="6778625" y="15449519"/>
          <a:chExt cx="3432175" cy="890107"/>
        </a:xfrm>
      </xdr:grpSpPr>
      <xdr:sp macro="" textlink="">
        <xdr:nvSpPr>
          <xdr:cNvPr id="85" name="Step"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8D36918E-040F-6ADC-A704-B6F228EB9FE6}"/>
              </a:ext>
            </a:extLst>
          </xdr:cNvPr>
          <xdr:cNvSpPr txBox="1"/>
        </xdr:nvSpPr>
        <xdr:spPr>
          <a:xfrm>
            <a:off x="7042958" y="15665450"/>
            <a:ext cx="3167842" cy="674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chemeClr val="accent1"/>
                </a:solidFill>
                <a:latin typeface="+mj-lt"/>
                <a:ea typeface="Segoe UI" pitchFamily="34" charset="0"/>
                <a:cs typeface="Segoe UI Light" panose="020B0502040204020203" pitchFamily="34" charset="0"/>
              </a:rPr>
              <a:t>GOOD TO KNOW</a:t>
            </a:r>
            <a:endParaRPr lang="en-US" sz="1200" b="1">
              <a:solidFill>
                <a:schemeClr val="accent1"/>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Use de function </a:t>
            </a:r>
            <a:r>
              <a:rPr lang="en-US" sz="1100" b="1" i="0" kern="1200" baseline="0">
                <a:solidFill>
                  <a:schemeClr val="dk1"/>
                </a:solidFill>
                <a:effectLst/>
                <a:latin typeface="+mn-lt"/>
                <a:ea typeface="+mn-ea"/>
                <a:cs typeface="+mn-cs"/>
              </a:rPr>
              <a:t>DATE</a:t>
            </a:r>
            <a:r>
              <a:rPr lang="en-US" sz="1100" b="0" i="0" kern="1200" baseline="0">
                <a:solidFill>
                  <a:schemeClr val="dk1"/>
                </a:solidFill>
                <a:effectLst/>
                <a:latin typeface="+mn-lt"/>
                <a:ea typeface="+mn-ea"/>
                <a:cs typeface="+mn-cs"/>
              </a:rPr>
              <a:t> </a:t>
            </a:r>
            <a:r>
              <a:rPr lang="en-US" sz="1100"/>
              <a:t>when you need to take three separate values and combine them to form a date.</a:t>
            </a:r>
            <a:endParaRPr lang="en-US" sz="1100">
              <a:effectLst/>
              <a:latin typeface="+mn-lt"/>
            </a:endParaRPr>
          </a:p>
        </xdr:txBody>
      </xdr:sp>
      <xdr:pic>
        <xdr:nvPicPr>
          <xdr:cNvPr id="86" name="Graphic 147" descr="Glasses">
            <a:extLst>
              <a:ext uri="{FF2B5EF4-FFF2-40B4-BE49-F238E27FC236}">
                <a16:creationId xmlns:a16="http://schemas.microsoft.com/office/drawing/2014/main" id="{B67BF8B7-FDE2-28CE-42A0-CAA34E7DC28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87" name="Freeform: Shape 86" descr="Arrrow">
            <a:extLst>
              <a:ext uri="{FF2B5EF4-FFF2-40B4-BE49-F238E27FC236}">
                <a16:creationId xmlns:a16="http://schemas.microsoft.com/office/drawing/2014/main" id="{0ED5DC48-283D-CDA8-5FAE-1F6AB9F192F8}"/>
              </a:ext>
            </a:extLst>
          </xdr:cNvPr>
          <xdr:cNvSpPr/>
        </xdr:nvSpPr>
        <xdr:spPr>
          <a:xfrm rot="5953034" flipV="1">
            <a:off x="8309328" y="15426786"/>
            <a:ext cx="284005" cy="3294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1"/>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oneCellAnchor>
  <xdr:oneCellAnchor>
    <xdr:from>
      <xdr:col>2</xdr:col>
      <xdr:colOff>249445</xdr:colOff>
      <xdr:row>42</xdr:row>
      <xdr:rowOff>39191</xdr:rowOff>
    </xdr:from>
    <xdr:ext cx="3600450" cy="926700"/>
    <xdr:grpSp>
      <xdr:nvGrpSpPr>
        <xdr:cNvPr id="88" name="GOOD TO KNOW"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F8DBCFAF-9BB8-1242-A1B5-00616E4BF507}"/>
            </a:ext>
          </a:extLst>
        </xdr:cNvPr>
        <xdr:cNvGrpSpPr/>
      </xdr:nvGrpSpPr>
      <xdr:grpSpPr>
        <a:xfrm>
          <a:off x="3434367" y="9790410"/>
          <a:ext cx="3600450" cy="926700"/>
          <a:chOff x="6778625" y="15449519"/>
          <a:chExt cx="3432175" cy="890107"/>
        </a:xfrm>
      </xdr:grpSpPr>
      <xdr:sp macro="" textlink="">
        <xdr:nvSpPr>
          <xdr:cNvPr id="89" name="Step"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E9B7680-BC46-8074-048E-397FA5F781F7}"/>
              </a:ext>
            </a:extLst>
          </xdr:cNvPr>
          <xdr:cNvSpPr txBox="1"/>
        </xdr:nvSpPr>
        <xdr:spPr>
          <a:xfrm>
            <a:off x="7042958" y="15665450"/>
            <a:ext cx="3167842" cy="674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chemeClr val="accent1"/>
                </a:solidFill>
                <a:latin typeface="+mj-lt"/>
                <a:ea typeface="Segoe UI" pitchFamily="34" charset="0"/>
                <a:cs typeface="Segoe UI Light" panose="020B0502040204020203" pitchFamily="34" charset="0"/>
              </a:rPr>
              <a:t>GOOD TO KNOW</a:t>
            </a:r>
            <a:endParaRPr lang="en-US" sz="1200" b="1">
              <a:solidFill>
                <a:schemeClr val="accent1"/>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Use de functions </a:t>
            </a:r>
            <a:r>
              <a:rPr lang="en-US" sz="1100" b="1" i="0" kern="1200" baseline="0">
                <a:solidFill>
                  <a:schemeClr val="dk1"/>
                </a:solidFill>
                <a:effectLst/>
                <a:latin typeface="+mn-lt"/>
                <a:ea typeface="+mn-ea"/>
                <a:cs typeface="+mn-cs"/>
              </a:rPr>
              <a:t>YEAR, </a:t>
            </a:r>
            <a:r>
              <a:rPr lang="en-US" sz="1100" b="0" i="0" kern="1200" baseline="0">
                <a:solidFill>
                  <a:schemeClr val="dk1"/>
                </a:solidFill>
                <a:effectLst/>
                <a:latin typeface="+mn-lt"/>
                <a:ea typeface="+mn-ea"/>
                <a:cs typeface="+mn-cs"/>
              </a:rPr>
              <a:t> </a:t>
            </a:r>
            <a:r>
              <a:rPr lang="en-US" sz="1100" b="1" i="0" kern="1200" baseline="0">
                <a:solidFill>
                  <a:schemeClr val="dk1"/>
                </a:solidFill>
                <a:effectLst/>
                <a:latin typeface="+mn-lt"/>
                <a:ea typeface="+mn-ea"/>
                <a:cs typeface="+mn-cs"/>
              </a:rPr>
              <a:t>MONTH</a:t>
            </a:r>
            <a:r>
              <a:rPr lang="en-US" sz="1100" b="0" i="0" kern="1200" baseline="0">
                <a:solidFill>
                  <a:schemeClr val="dk1"/>
                </a:solidFill>
                <a:effectLst/>
                <a:latin typeface="+mn-lt"/>
                <a:ea typeface="+mn-ea"/>
                <a:cs typeface="+mn-cs"/>
              </a:rPr>
              <a:t> and </a:t>
            </a:r>
            <a:r>
              <a:rPr lang="en-US" sz="1100" b="1" i="0" kern="1200" baseline="0">
                <a:solidFill>
                  <a:schemeClr val="dk1"/>
                </a:solidFill>
                <a:effectLst/>
                <a:latin typeface="+mn-lt"/>
                <a:ea typeface="+mn-ea"/>
                <a:cs typeface="+mn-cs"/>
              </a:rPr>
              <a:t>DAY</a:t>
            </a:r>
            <a:r>
              <a:rPr lang="en-US" sz="1100" b="0" i="0" kern="1200" baseline="0">
                <a:solidFill>
                  <a:schemeClr val="dk1"/>
                </a:solidFill>
                <a:effectLst/>
                <a:latin typeface="+mn-lt"/>
                <a:ea typeface="+mn-ea"/>
                <a:cs typeface="+mn-cs"/>
              </a:rPr>
              <a:t> to extract the year, month and day from a date.</a:t>
            </a:r>
            <a:endParaRPr lang="en-US" sz="1100">
              <a:effectLst/>
              <a:latin typeface="+mn-lt"/>
            </a:endParaRPr>
          </a:p>
        </xdr:txBody>
      </xdr:sp>
      <xdr:pic>
        <xdr:nvPicPr>
          <xdr:cNvPr id="90" name="Graphic 147" descr="Glasses">
            <a:extLst>
              <a:ext uri="{FF2B5EF4-FFF2-40B4-BE49-F238E27FC236}">
                <a16:creationId xmlns:a16="http://schemas.microsoft.com/office/drawing/2014/main" id="{5D7BA4A1-609E-8E95-6261-6850F50DB1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91" name="Freeform: Shape 90" descr="Arrrow">
            <a:extLst>
              <a:ext uri="{FF2B5EF4-FFF2-40B4-BE49-F238E27FC236}">
                <a16:creationId xmlns:a16="http://schemas.microsoft.com/office/drawing/2014/main" id="{A2AB5E46-D1D4-033D-31F1-D9086B221BBD}"/>
              </a:ext>
            </a:extLst>
          </xdr:cNvPr>
          <xdr:cNvSpPr/>
        </xdr:nvSpPr>
        <xdr:spPr>
          <a:xfrm rot="5953034" flipV="1">
            <a:off x="8309328" y="15426786"/>
            <a:ext cx="284005" cy="3294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1"/>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361978</xdr:colOff>
      <xdr:row>4</xdr:row>
      <xdr:rowOff>12636</xdr:rowOff>
    </xdr:to>
    <xdr:sp macro="" textlink="">
      <xdr:nvSpPr>
        <xdr:cNvPr id="2" name="3 Rectángulo">
          <a:extLst>
            <a:ext uri="{FF2B5EF4-FFF2-40B4-BE49-F238E27FC236}">
              <a16:creationId xmlns:a16="http://schemas.microsoft.com/office/drawing/2014/main" id="{00000000-0008-0000-1500-000002000000}"/>
            </a:ext>
          </a:extLst>
        </xdr:cNvPr>
        <xdr:cNvSpPr/>
      </xdr:nvSpPr>
      <xdr:spPr>
        <a:xfrm>
          <a:off x="0" y="0"/>
          <a:ext cx="9124978" cy="774636"/>
        </a:xfrm>
        <a:prstGeom prst="rect">
          <a:avLst/>
        </a:prstGeom>
      </xdr:spPr>
      <xdr:txBody>
        <a:bodyPr wrap="square">
          <a:spAutoFit/>
        </a:bodyPr>
        <a:lstStyle>
          <a:defPPr>
            <a:defRPr lang="es-ES"/>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r>
            <a:rPr lang="es-ES" sz="2400" i="1">
              <a:latin typeface="Segoe UI" pitchFamily="34" charset="0"/>
              <a:ea typeface="Segoe UI" pitchFamily="34" charset="0"/>
              <a:cs typeface="Segoe UI" pitchFamily="34" charset="0"/>
            </a:rPr>
            <a:t>¿How will affect</a:t>
          </a:r>
          <a:r>
            <a:rPr lang="es-ES" sz="2400" i="1" baseline="0">
              <a:latin typeface="Segoe UI" pitchFamily="34" charset="0"/>
              <a:ea typeface="Segoe UI" pitchFamily="34" charset="0"/>
              <a:cs typeface="Segoe UI" pitchFamily="34" charset="0"/>
            </a:rPr>
            <a:t> my benefits if I change the unit cost?</a:t>
          </a:r>
          <a:r>
            <a:rPr lang="es-ES" sz="2400" i="1">
              <a:latin typeface="Segoe UI" pitchFamily="34" charset="0"/>
              <a:ea typeface="Segoe UI" pitchFamily="34" charset="0"/>
              <a:cs typeface="Segoe UI" pitchFamily="34" charset="0"/>
            </a:rPr>
            <a:t> </a:t>
          </a:r>
        </a:p>
        <a:p>
          <a:pPr lvl="1"/>
          <a:r>
            <a:rPr lang="es-ES" sz="1600" i="1">
              <a:latin typeface="Segoe UI" pitchFamily="34" charset="0"/>
              <a:ea typeface="Segoe UI" pitchFamily="34" charset="0"/>
              <a:cs typeface="Segoe UI" pitchFamily="34" charset="0"/>
            </a:rPr>
            <a:t> </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EADA_Formulas_Intro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Basics"/>
      <sheetName val="Introduction to Functions"/>
      <sheetName val="AVERAGE"/>
      <sheetName val="MIN &amp; MAX"/>
      <sheetName val="Date &amp; Time"/>
      <sheetName val="Joining text and numbers"/>
      <sheetName val="IF statements"/>
      <sheetName val="VLOOKUP"/>
      <sheetName val="Conditional Functions"/>
      <sheetName val="Function Wizard"/>
      <sheetName val="Formula Errors"/>
      <sheetName val="Learn more"/>
      <sheetName val="EADA_Formulas_Intro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0000000}" name="Tabla6" displayName="Tabla6" ref="B5:H29" totalsRowShown="0" headerRowDxfId="4">
  <autoFilter ref="B5:H29" xr:uid="{00000000-0009-0000-0100-000010000000}"/>
  <tableColumns count="7">
    <tableColumn id="1" xr3:uid="{00000000-0010-0000-0000-000001000000}" name="Mes"/>
    <tableColumn id="2" xr3:uid="{00000000-0010-0000-0000-000002000000}" name="Año"/>
    <tableColumn id="3" xr3:uid="{00000000-0010-0000-0000-000003000000}" name="Tipo"/>
    <tableColumn id="4" xr3:uid="{00000000-0010-0000-0000-000004000000}" name="Precio Fabricación" dataDxfId="3"/>
    <tableColumn id="5" xr3:uid="{00000000-0010-0000-0000-000005000000}" name="Precio Distribución" dataDxfId="2"/>
    <tableColumn id="6" xr3:uid="{00000000-0010-0000-0000-000006000000}" name="Precio Público"/>
    <tableColumn id="7" xr3:uid="{00000000-0010-0000-0000-000007000000}" name="ID1" dataDxfId="1">
      <calculatedColumnFormula>Tabla6[[#This Row],[Precio Público]]-Tabla6[[#This Row],[Precio Distribución]]</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1000000}" name="Tabla218" displayName="Tabla218" ref="J5:K8" totalsRowShown="0" headerRowDxfId="0">
  <autoFilter ref="J5:K8" xr:uid="{00000000-0009-0000-0100-000011000000}"/>
  <tableColumns count="2">
    <tableColumn id="1" xr3:uid="{00000000-0010-0000-0100-000001000000}" name="Método"/>
    <tableColumn id="2" xr3:uid="{00000000-0010-0000-0100-000002000000}" name="Inconviente"/>
  </tableColumns>
  <tableStyleInfo name="TableStyleMedium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B3:B24"/>
  <sheetViews>
    <sheetView topLeftCell="A3" workbookViewId="0">
      <selection activeCell="E17" sqref="E17"/>
    </sheetView>
  </sheetViews>
  <sheetFormatPr defaultColWidth="9" defaultRowHeight="14.5" x14ac:dyDescent="0.35"/>
  <cols>
    <col min="2" max="2" width="57.81640625" style="1" customWidth="1"/>
    <col min="3" max="3" width="10" customWidth="1"/>
    <col min="4" max="4" width="9.453125" customWidth="1"/>
  </cols>
  <sheetData>
    <row r="3" spans="2:2" ht="26" x14ac:dyDescent="0.6">
      <c r="B3" s="22" t="s">
        <v>53</v>
      </c>
    </row>
    <row r="16" spans="2:2" ht="21" x14ac:dyDescent="0.5">
      <c r="B16" s="23"/>
    </row>
    <row r="17" spans="2:2" ht="21" x14ac:dyDescent="0.5">
      <c r="B17" s="24" t="s">
        <v>52</v>
      </c>
    </row>
    <row r="18" spans="2:2" ht="21" x14ac:dyDescent="0.5">
      <c r="B18" s="24" t="s">
        <v>51</v>
      </c>
    </row>
    <row r="19" spans="2:2" ht="21" x14ac:dyDescent="0.5">
      <c r="B19" s="24"/>
    </row>
    <row r="21" spans="2:2" ht="21" x14ac:dyDescent="0.5">
      <c r="B21" s="24"/>
    </row>
    <row r="22" spans="2:2" ht="21" x14ac:dyDescent="0.5">
      <c r="B22" s="24"/>
    </row>
    <row r="23" spans="2:2" ht="21" x14ac:dyDescent="0.5">
      <c r="B23" s="24"/>
    </row>
    <row r="24" spans="2:2" ht="21" x14ac:dyDescent="0.5">
      <c r="B24" s="24"/>
    </row>
  </sheetData>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tabColor theme="7" tint="-0.499984740745262"/>
  </sheetPr>
  <dimension ref="B2:K57"/>
  <sheetViews>
    <sheetView workbookViewId="0"/>
  </sheetViews>
  <sheetFormatPr defaultColWidth="11.453125" defaultRowHeight="14.5" x14ac:dyDescent="0.35"/>
  <cols>
    <col min="1" max="1" width="7.54296875" customWidth="1"/>
    <col min="5" max="5" width="21.54296875" customWidth="1"/>
    <col min="6" max="6" width="22.453125" customWidth="1"/>
    <col min="7" max="7" width="18.26953125" customWidth="1"/>
    <col min="10" max="10" width="54.7265625" customWidth="1"/>
    <col min="11" max="11" width="38.81640625" customWidth="1"/>
  </cols>
  <sheetData>
    <row r="2" spans="2:11" ht="23.5" x14ac:dyDescent="0.55000000000000004">
      <c r="B2" s="20" t="s">
        <v>48</v>
      </c>
      <c r="J2" s="21" t="s">
        <v>27</v>
      </c>
    </row>
    <row r="3" spans="2:11" ht="23.5" x14ac:dyDescent="0.55000000000000004">
      <c r="B3" s="21"/>
    </row>
    <row r="5" spans="2:11" s="18" customFormat="1" ht="21.75" customHeight="1" x14ac:dyDescent="0.35">
      <c r="B5" s="18" t="s">
        <v>47</v>
      </c>
      <c r="C5" s="18" t="s">
        <v>37</v>
      </c>
      <c r="D5" s="18" t="s">
        <v>38</v>
      </c>
      <c r="E5" s="18" t="s">
        <v>45</v>
      </c>
      <c r="F5" s="18" t="s">
        <v>46</v>
      </c>
      <c r="G5" s="18" t="s">
        <v>39</v>
      </c>
      <c r="H5" s="18" t="s">
        <v>28</v>
      </c>
      <c r="J5" s="19" t="s">
        <v>29</v>
      </c>
      <c r="K5" s="19" t="s">
        <v>30</v>
      </c>
    </row>
    <row r="6" spans="2:11" x14ac:dyDescent="0.35">
      <c r="B6" t="s">
        <v>15</v>
      </c>
      <c r="C6">
        <v>2007</v>
      </c>
      <c r="D6" t="s">
        <v>40</v>
      </c>
      <c r="E6" s="1">
        <v>41</v>
      </c>
      <c r="F6" s="1">
        <v>34</v>
      </c>
      <c r="G6">
        <v>113</v>
      </c>
      <c r="H6">
        <f>Tabla6[[#This Row],[Precio Público]]-Tabla6[[#This Row],[Precio Distribución]]</f>
        <v>79</v>
      </c>
      <c r="J6" t="s">
        <v>31</v>
      </c>
      <c r="K6" t="s">
        <v>32</v>
      </c>
    </row>
    <row r="7" spans="2:11" x14ac:dyDescent="0.35">
      <c r="B7" t="s">
        <v>16</v>
      </c>
      <c r="C7">
        <v>2007</v>
      </c>
      <c r="D7" t="s">
        <v>41</v>
      </c>
      <c r="E7" s="1">
        <v>29</v>
      </c>
      <c r="F7" s="1">
        <v>116</v>
      </c>
      <c r="G7">
        <v>118</v>
      </c>
      <c r="H7">
        <f>Tabla6[[#This Row],[Precio Público]]-Tabla6[[#This Row],[Precio Distribución]]</f>
        <v>2</v>
      </c>
      <c r="J7" t="s">
        <v>33</v>
      </c>
      <c r="K7" t="s">
        <v>34</v>
      </c>
    </row>
    <row r="8" spans="2:11" x14ac:dyDescent="0.35">
      <c r="B8" t="s">
        <v>17</v>
      </c>
      <c r="C8">
        <v>2007</v>
      </c>
      <c r="D8" t="s">
        <v>42</v>
      </c>
      <c r="E8" s="1">
        <v>18</v>
      </c>
      <c r="F8" s="1">
        <v>88</v>
      </c>
      <c r="G8">
        <v>98</v>
      </c>
      <c r="H8">
        <f>Tabla6[[#This Row],[Precio Público]]-Tabla6[[#This Row],[Precio Distribución]]</f>
        <v>10</v>
      </c>
      <c r="J8" t="s">
        <v>35</v>
      </c>
      <c r="K8" t="s">
        <v>36</v>
      </c>
    </row>
    <row r="9" spans="2:11" x14ac:dyDescent="0.35">
      <c r="B9" t="s">
        <v>18</v>
      </c>
      <c r="C9">
        <v>2007</v>
      </c>
      <c r="D9" t="s">
        <v>43</v>
      </c>
      <c r="E9" s="1">
        <v>104</v>
      </c>
      <c r="F9" s="1">
        <v>28</v>
      </c>
      <c r="G9">
        <v>91</v>
      </c>
      <c r="H9">
        <f>Tabla6[[#This Row],[Precio Público]]-Tabla6[[#This Row],[Precio Distribución]]</f>
        <v>63</v>
      </c>
    </row>
    <row r="10" spans="2:11" x14ac:dyDescent="0.35">
      <c r="B10" t="s">
        <v>19</v>
      </c>
      <c r="C10">
        <v>2007</v>
      </c>
      <c r="D10" t="s">
        <v>44</v>
      </c>
      <c r="E10" s="1">
        <v>54</v>
      </c>
      <c r="F10" s="1">
        <v>43</v>
      </c>
      <c r="G10">
        <v>39</v>
      </c>
      <c r="H10">
        <f>Tabla6[[#This Row],[Precio Público]]-Tabla6[[#This Row],[Precio Distribución]]</f>
        <v>-4</v>
      </c>
    </row>
    <row r="11" spans="2:11" x14ac:dyDescent="0.35">
      <c r="B11" t="s">
        <v>20</v>
      </c>
      <c r="C11">
        <v>2007</v>
      </c>
      <c r="D11" t="s">
        <v>40</v>
      </c>
      <c r="E11" s="1">
        <v>27</v>
      </c>
      <c r="F11" s="1">
        <v>27</v>
      </c>
      <c r="G11">
        <v>62</v>
      </c>
      <c r="H11">
        <f>Tabla6[[#This Row],[Precio Público]]-Tabla6[[#This Row],[Precio Distribución]]</f>
        <v>35</v>
      </c>
    </row>
    <row r="12" spans="2:11" x14ac:dyDescent="0.35">
      <c r="B12" t="s">
        <v>21</v>
      </c>
      <c r="C12">
        <v>2007</v>
      </c>
      <c r="D12" t="s">
        <v>41</v>
      </c>
      <c r="E12" s="1">
        <v>50</v>
      </c>
      <c r="F12" s="1">
        <v>90</v>
      </c>
      <c r="G12">
        <v>90</v>
      </c>
      <c r="H12">
        <f>Tabla6[[#This Row],[Precio Público]]-Tabla6[[#This Row],[Precio Distribución]]</f>
        <v>0</v>
      </c>
    </row>
    <row r="13" spans="2:11" x14ac:dyDescent="0.35">
      <c r="B13" t="s">
        <v>22</v>
      </c>
      <c r="C13">
        <v>2007</v>
      </c>
      <c r="D13" t="s">
        <v>42</v>
      </c>
      <c r="E13" s="1">
        <v>65</v>
      </c>
      <c r="F13" s="1">
        <v>51</v>
      </c>
      <c r="G13">
        <v>70</v>
      </c>
      <c r="H13">
        <f>Tabla6[[#This Row],[Precio Público]]-Tabla6[[#This Row],[Precio Distribución]]</f>
        <v>19</v>
      </c>
    </row>
    <row r="14" spans="2:11" x14ac:dyDescent="0.35">
      <c r="B14" t="s">
        <v>23</v>
      </c>
      <c r="C14">
        <v>2007</v>
      </c>
      <c r="D14" t="s">
        <v>43</v>
      </c>
      <c r="E14" s="1">
        <v>73</v>
      </c>
      <c r="F14" s="1">
        <v>61</v>
      </c>
      <c r="G14">
        <v>40</v>
      </c>
      <c r="H14">
        <f>Tabla6[[#This Row],[Precio Público]]-Tabla6[[#This Row],[Precio Distribución]]</f>
        <v>-21</v>
      </c>
    </row>
    <row r="15" spans="2:11" x14ac:dyDescent="0.35">
      <c r="B15" t="s">
        <v>24</v>
      </c>
      <c r="C15">
        <v>2007</v>
      </c>
      <c r="D15" t="s">
        <v>44</v>
      </c>
      <c r="E15" s="1">
        <v>71</v>
      </c>
      <c r="F15" s="1">
        <v>46</v>
      </c>
      <c r="G15">
        <v>43</v>
      </c>
      <c r="H15">
        <f>Tabla6[[#This Row],[Precio Público]]-Tabla6[[#This Row],[Precio Distribución]]</f>
        <v>-3</v>
      </c>
    </row>
    <row r="16" spans="2:11" x14ac:dyDescent="0.35">
      <c r="B16" t="s">
        <v>25</v>
      </c>
      <c r="C16">
        <v>2007</v>
      </c>
      <c r="D16" t="s">
        <v>40</v>
      </c>
      <c r="E16" s="1">
        <v>31</v>
      </c>
      <c r="F16" s="1">
        <v>39</v>
      </c>
      <c r="G16">
        <v>102</v>
      </c>
      <c r="H16">
        <f>Tabla6[[#This Row],[Precio Público]]-Tabla6[[#This Row],[Precio Distribución]]</f>
        <v>63</v>
      </c>
    </row>
    <row r="17" spans="2:8" x14ac:dyDescent="0.35">
      <c r="B17" t="s">
        <v>26</v>
      </c>
      <c r="C17">
        <v>2007</v>
      </c>
      <c r="D17" t="s">
        <v>41</v>
      </c>
      <c r="E17" s="1">
        <v>117</v>
      </c>
      <c r="F17" s="1">
        <v>30</v>
      </c>
      <c r="G17">
        <v>23</v>
      </c>
      <c r="H17">
        <f>Tabla6[[#This Row],[Precio Público]]-Tabla6[[#This Row],[Precio Distribución]]</f>
        <v>-7</v>
      </c>
    </row>
    <row r="18" spans="2:8" x14ac:dyDescent="0.35">
      <c r="B18" t="s">
        <v>15</v>
      </c>
      <c r="C18">
        <v>2008</v>
      </c>
      <c r="D18" t="s">
        <v>42</v>
      </c>
      <c r="E18" s="1">
        <v>113</v>
      </c>
      <c r="F18" s="1">
        <v>50</v>
      </c>
      <c r="G18">
        <v>123</v>
      </c>
      <c r="H18">
        <f>Tabla6[[#This Row],[Precio Público]]-Tabla6[[#This Row],[Precio Distribución]]</f>
        <v>73</v>
      </c>
    </row>
    <row r="19" spans="2:8" x14ac:dyDescent="0.35">
      <c r="B19" t="s">
        <v>16</v>
      </c>
      <c r="C19">
        <v>2008</v>
      </c>
      <c r="D19" t="s">
        <v>43</v>
      </c>
      <c r="E19" s="1">
        <v>20</v>
      </c>
      <c r="F19" s="1">
        <v>74</v>
      </c>
      <c r="G19">
        <v>59</v>
      </c>
      <c r="H19">
        <f>Tabla6[[#This Row],[Precio Público]]-Tabla6[[#This Row],[Precio Distribución]]</f>
        <v>-15</v>
      </c>
    </row>
    <row r="20" spans="2:8" x14ac:dyDescent="0.35">
      <c r="B20" t="s">
        <v>17</v>
      </c>
      <c r="C20">
        <v>2008</v>
      </c>
      <c r="D20" t="s">
        <v>44</v>
      </c>
      <c r="E20" s="1">
        <v>105</v>
      </c>
      <c r="F20" s="1">
        <v>115</v>
      </c>
      <c r="G20">
        <v>78</v>
      </c>
      <c r="H20">
        <f>Tabla6[[#This Row],[Precio Público]]-Tabla6[[#This Row],[Precio Distribución]]</f>
        <v>-37</v>
      </c>
    </row>
    <row r="21" spans="2:8" x14ac:dyDescent="0.35">
      <c r="B21" t="s">
        <v>18</v>
      </c>
      <c r="C21">
        <v>2008</v>
      </c>
      <c r="D21" t="s">
        <v>40</v>
      </c>
      <c r="E21" s="1">
        <v>39</v>
      </c>
      <c r="F21" s="1">
        <v>70</v>
      </c>
      <c r="G21">
        <v>81</v>
      </c>
      <c r="H21">
        <f>Tabla6[[#This Row],[Precio Público]]-Tabla6[[#This Row],[Precio Distribución]]</f>
        <v>11</v>
      </c>
    </row>
    <row r="22" spans="2:8" x14ac:dyDescent="0.35">
      <c r="B22" t="s">
        <v>19</v>
      </c>
      <c r="C22">
        <v>2008</v>
      </c>
      <c r="D22" t="s">
        <v>41</v>
      </c>
      <c r="E22" s="1">
        <v>41</v>
      </c>
      <c r="F22" s="1">
        <v>81</v>
      </c>
      <c r="G22">
        <v>52</v>
      </c>
      <c r="H22">
        <f>Tabla6[[#This Row],[Precio Público]]-Tabla6[[#This Row],[Precio Distribución]]</f>
        <v>-29</v>
      </c>
    </row>
    <row r="23" spans="2:8" x14ac:dyDescent="0.35">
      <c r="B23" t="s">
        <v>20</v>
      </c>
      <c r="C23">
        <v>2008</v>
      </c>
      <c r="D23" t="s">
        <v>42</v>
      </c>
      <c r="E23" s="1">
        <v>61</v>
      </c>
      <c r="F23" s="1">
        <v>31</v>
      </c>
      <c r="G23">
        <v>81</v>
      </c>
      <c r="H23">
        <f>Tabla6[[#This Row],[Precio Público]]-Tabla6[[#This Row],[Precio Distribución]]</f>
        <v>50</v>
      </c>
    </row>
    <row r="24" spans="2:8" x14ac:dyDescent="0.35">
      <c r="B24" t="s">
        <v>21</v>
      </c>
      <c r="C24">
        <v>2008</v>
      </c>
      <c r="D24" t="s">
        <v>43</v>
      </c>
      <c r="E24" s="1">
        <v>72</v>
      </c>
      <c r="F24" s="1">
        <v>62</v>
      </c>
      <c r="G24">
        <v>39</v>
      </c>
      <c r="H24">
        <f>Tabla6[[#This Row],[Precio Público]]-Tabla6[[#This Row],[Precio Distribución]]</f>
        <v>-23</v>
      </c>
    </row>
    <row r="25" spans="2:8" x14ac:dyDescent="0.35">
      <c r="B25" t="s">
        <v>22</v>
      </c>
      <c r="C25">
        <v>2008</v>
      </c>
      <c r="D25" t="s">
        <v>44</v>
      </c>
      <c r="E25" s="1">
        <v>63</v>
      </c>
      <c r="F25" s="1">
        <v>115</v>
      </c>
      <c r="G25">
        <v>30</v>
      </c>
      <c r="H25">
        <f>Tabla6[[#This Row],[Precio Público]]-Tabla6[[#This Row],[Precio Distribución]]</f>
        <v>-85</v>
      </c>
    </row>
    <row r="26" spans="2:8" x14ac:dyDescent="0.35">
      <c r="B26" t="s">
        <v>23</v>
      </c>
      <c r="C26">
        <v>2008</v>
      </c>
      <c r="D26" t="s">
        <v>40</v>
      </c>
      <c r="E26" s="1">
        <v>93</v>
      </c>
      <c r="F26" s="1">
        <v>28</v>
      </c>
      <c r="G26">
        <v>86</v>
      </c>
      <c r="H26">
        <f>Tabla6[[#This Row],[Precio Público]]-Tabla6[[#This Row],[Precio Distribución]]</f>
        <v>58</v>
      </c>
    </row>
    <row r="27" spans="2:8" x14ac:dyDescent="0.35">
      <c r="B27" t="s">
        <v>24</v>
      </c>
      <c r="C27">
        <v>2008</v>
      </c>
      <c r="D27" t="s">
        <v>41</v>
      </c>
      <c r="E27" s="1">
        <v>97</v>
      </c>
      <c r="F27" s="1">
        <v>123</v>
      </c>
      <c r="G27">
        <v>43</v>
      </c>
      <c r="H27">
        <f>Tabla6[[#This Row],[Precio Público]]-Tabla6[[#This Row],[Precio Distribución]]</f>
        <v>-80</v>
      </c>
    </row>
    <row r="28" spans="2:8" x14ac:dyDescent="0.35">
      <c r="B28" t="s">
        <v>25</v>
      </c>
      <c r="C28">
        <v>2008</v>
      </c>
      <c r="D28" t="s">
        <v>42</v>
      </c>
      <c r="E28" s="1">
        <v>88</v>
      </c>
      <c r="F28" s="1">
        <v>44</v>
      </c>
      <c r="G28">
        <v>89</v>
      </c>
      <c r="H28">
        <f>Tabla6[[#This Row],[Precio Público]]-Tabla6[[#This Row],[Precio Distribución]]</f>
        <v>45</v>
      </c>
    </row>
    <row r="29" spans="2:8" x14ac:dyDescent="0.35">
      <c r="B29" t="s">
        <v>26</v>
      </c>
      <c r="C29">
        <v>2008</v>
      </c>
      <c r="D29" t="s">
        <v>43</v>
      </c>
      <c r="E29" s="1">
        <v>21</v>
      </c>
      <c r="F29" s="1">
        <v>98</v>
      </c>
      <c r="G29">
        <v>62</v>
      </c>
      <c r="H29">
        <f>Tabla6[[#This Row],[Precio Público]]-Tabla6[[#This Row],[Precio Distribución]]</f>
        <v>-36</v>
      </c>
    </row>
    <row r="33" spans="2:7" x14ac:dyDescent="0.35">
      <c r="B33" s="18"/>
      <c r="C33" s="18"/>
      <c r="D33" s="18"/>
      <c r="E33" s="18"/>
      <c r="F33" s="18"/>
      <c r="G33" s="18"/>
    </row>
    <row r="34" spans="2:7" x14ac:dyDescent="0.35">
      <c r="E34" s="1"/>
      <c r="F34" s="1"/>
    </row>
    <row r="35" spans="2:7" x14ac:dyDescent="0.35">
      <c r="E35" s="1"/>
      <c r="F35" s="1"/>
    </row>
    <row r="36" spans="2:7" x14ac:dyDescent="0.35">
      <c r="E36" s="1"/>
      <c r="F36" s="1"/>
    </row>
    <row r="37" spans="2:7" x14ac:dyDescent="0.35">
      <c r="E37" s="1"/>
      <c r="F37" s="1"/>
    </row>
    <row r="38" spans="2:7" x14ac:dyDescent="0.35">
      <c r="E38" s="1"/>
      <c r="F38" s="1"/>
    </row>
    <row r="39" spans="2:7" x14ac:dyDescent="0.35">
      <c r="E39" s="1"/>
      <c r="F39" s="1"/>
    </row>
    <row r="40" spans="2:7" x14ac:dyDescent="0.35">
      <c r="E40" s="1"/>
      <c r="F40" s="1"/>
    </row>
    <row r="41" spans="2:7" x14ac:dyDescent="0.35">
      <c r="E41" s="1"/>
      <c r="F41" s="1"/>
    </row>
    <row r="42" spans="2:7" x14ac:dyDescent="0.35">
      <c r="E42" s="1"/>
      <c r="F42" s="1"/>
    </row>
    <row r="43" spans="2:7" x14ac:dyDescent="0.35">
      <c r="E43" s="1"/>
      <c r="F43" s="1"/>
    </row>
    <row r="44" spans="2:7" x14ac:dyDescent="0.35">
      <c r="E44" s="1"/>
      <c r="F44" s="1"/>
    </row>
    <row r="45" spans="2:7" x14ac:dyDescent="0.35">
      <c r="E45" s="1"/>
      <c r="F45" s="1"/>
    </row>
    <row r="46" spans="2:7" x14ac:dyDescent="0.35">
      <c r="E46" s="1"/>
      <c r="F46" s="1"/>
    </row>
    <row r="47" spans="2:7" x14ac:dyDescent="0.35">
      <c r="E47" s="1"/>
      <c r="F47" s="1"/>
    </row>
    <row r="48" spans="2:7" x14ac:dyDescent="0.35">
      <c r="E48" s="1"/>
      <c r="F48" s="1"/>
    </row>
    <row r="49" spans="5:6" x14ac:dyDescent="0.35">
      <c r="E49" s="1"/>
      <c r="F49" s="1"/>
    </row>
    <row r="50" spans="5:6" x14ac:dyDescent="0.35">
      <c r="E50" s="1"/>
      <c r="F50" s="1"/>
    </row>
    <row r="51" spans="5:6" x14ac:dyDescent="0.35">
      <c r="E51" s="1"/>
      <c r="F51" s="1"/>
    </row>
    <row r="52" spans="5:6" x14ac:dyDescent="0.35">
      <c r="E52" s="1"/>
      <c r="F52" s="1"/>
    </row>
    <row r="53" spans="5:6" x14ac:dyDescent="0.35">
      <c r="E53" s="1"/>
      <c r="F53" s="1"/>
    </row>
    <row r="54" spans="5:6" x14ac:dyDescent="0.35">
      <c r="E54" s="1"/>
      <c r="F54" s="1"/>
    </row>
    <row r="55" spans="5:6" x14ac:dyDescent="0.35">
      <c r="E55" s="1"/>
      <c r="F55" s="1"/>
    </row>
    <row r="56" spans="5:6" x14ac:dyDescent="0.35">
      <c r="E56" s="1"/>
      <c r="F56" s="1"/>
    </row>
    <row r="57" spans="5:6" x14ac:dyDescent="0.35">
      <c r="E57" s="1"/>
      <c r="F57" s="1"/>
    </row>
  </sheetData>
  <conditionalFormatting sqref="H6:H29">
    <cfRule type="iconSet" priority="18">
      <iconSet iconSet="3Arrows" showValue="0">
        <cfvo type="percent" val="0"/>
        <cfvo type="num" val="0"/>
        <cfvo type="num" val="0" gte="0"/>
      </iconSet>
    </cfRule>
  </conditionalFormatting>
  <conditionalFormatting sqref="G6">
    <cfRule type="iconSet" priority="17">
      <iconSet iconSet="3Arrows">
        <cfvo type="percent" val="0"/>
        <cfvo type="formula" val="$F$6"/>
        <cfvo type="formula" val="$F$6" gte="0"/>
      </iconSet>
    </cfRule>
  </conditionalFormatting>
  <conditionalFormatting sqref="G7">
    <cfRule type="iconSet" priority="16">
      <iconSet iconSet="3Arrows">
        <cfvo type="percent" val="0"/>
        <cfvo type="formula" val="$F$7"/>
        <cfvo type="formula" val="$F$7" gte="0"/>
      </iconSet>
    </cfRule>
  </conditionalFormatting>
  <conditionalFormatting sqref="G10">
    <cfRule type="iconSet" priority="15">
      <iconSet iconSet="3Arrows">
        <cfvo type="percent" val="0"/>
        <cfvo type="formula" val="$F$10"/>
        <cfvo type="formula" val="$F$10" gte="0"/>
      </iconSet>
    </cfRule>
  </conditionalFormatting>
  <conditionalFormatting sqref="G12">
    <cfRule type="iconSet" priority="14">
      <iconSet iconSet="3Arrows">
        <cfvo type="percent" val="0"/>
        <cfvo type="formula" val="$F$12"/>
        <cfvo type="formula" val="$F$12" gte="0"/>
      </iconSet>
    </cfRule>
  </conditionalFormatting>
  <conditionalFormatting sqref="G6:G29">
    <cfRule type="expression" dxfId="10" priority="2">
      <formula>(F6-G6)&gt;0</formula>
    </cfRule>
    <cfRule type="expression" dxfId="9" priority="12">
      <formula>(G6-F6)=0</formula>
    </cfRule>
    <cfRule type="expression" dxfId="8" priority="13">
      <formula>(G6-F6)&gt;0</formula>
    </cfRule>
  </conditionalFormatting>
  <conditionalFormatting sqref="B34:G57">
    <cfRule type="expression" dxfId="7" priority="1">
      <formula>($G34-$F34)&lt;0</formula>
    </cfRule>
    <cfRule type="expression" dxfId="6" priority="3">
      <formula>($G34-$F34)=0</formula>
    </cfRule>
    <cfRule type="expression" dxfId="5" priority="4">
      <formula>($G34-$F34)&gt;0</formula>
    </cfRule>
  </conditionalFormatting>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C0642-6B37-4E1C-A341-9A0BC6FE2B94}">
  <sheetPr>
    <tabColor rgb="FFFFC000"/>
  </sheetPr>
  <dimension ref="A1:T120"/>
  <sheetViews>
    <sheetView showZeros="0" tabSelected="1" topLeftCell="D20" zoomScale="160" zoomScaleNormal="160" workbookViewId="0">
      <selection activeCell="M33" sqref="M33:U47"/>
    </sheetView>
  </sheetViews>
  <sheetFormatPr defaultRowHeight="14.5" x14ac:dyDescent="0.35"/>
  <cols>
    <col min="1" max="1" width="12.7265625" style="32" customWidth="1"/>
    <col min="2" max="2" width="32.81640625" style="32" customWidth="1"/>
    <col min="3" max="3" width="23" style="32" bestFit="1" customWidth="1"/>
    <col min="4" max="4" width="15.1796875" style="32" customWidth="1"/>
    <col min="5" max="5" width="8.7265625" style="32"/>
    <col min="6" max="6" width="18.81640625" style="32" customWidth="1"/>
    <col min="7" max="7" width="14.453125" style="32" customWidth="1"/>
    <col min="8" max="13" width="8.7265625" style="32"/>
    <col min="14" max="14" width="13.81640625" style="32" customWidth="1"/>
    <col min="15" max="15" width="11.26953125" style="32" bestFit="1" customWidth="1"/>
    <col min="16" max="16" width="8.7265625" style="32"/>
    <col min="17" max="17" width="17.6328125" style="32" customWidth="1"/>
    <col min="18" max="18" width="11.26953125" style="32" bestFit="1" customWidth="1"/>
    <col min="19" max="19" width="1" style="32" customWidth="1"/>
    <col min="20" max="20" width="16.36328125" style="32" customWidth="1"/>
    <col min="21" max="16384" width="8.7265625" style="32"/>
  </cols>
  <sheetData>
    <row r="1" spans="1:11" ht="14" customHeight="1" x14ac:dyDescent="0.35">
      <c r="A1" s="41" t="s">
        <v>54</v>
      </c>
      <c r="B1" s="41"/>
      <c r="C1" s="41"/>
      <c r="D1" s="41"/>
      <c r="E1" s="41"/>
      <c r="F1" s="41"/>
      <c r="G1" s="41"/>
      <c r="H1" s="41"/>
      <c r="I1" s="41"/>
      <c r="J1" s="41"/>
      <c r="K1" s="41"/>
    </row>
    <row r="2" spans="1:11" ht="14" customHeight="1" x14ac:dyDescent="0.35">
      <c r="A2" s="41"/>
      <c r="B2" s="41"/>
      <c r="C2" s="41"/>
      <c r="D2" s="41"/>
      <c r="E2" s="41"/>
      <c r="F2" s="41"/>
      <c r="G2" s="41"/>
      <c r="H2" s="41"/>
      <c r="I2" s="41"/>
      <c r="J2" s="41"/>
      <c r="K2" s="41"/>
    </row>
    <row r="3" spans="1:11" ht="167" customHeight="1" x14ac:dyDescent="0.35">
      <c r="A3" s="41"/>
      <c r="B3" s="28" t="s">
        <v>67</v>
      </c>
      <c r="C3" s="65"/>
      <c r="D3" s="66"/>
      <c r="E3" s="66"/>
      <c r="F3" s="66"/>
      <c r="G3" s="66"/>
      <c r="H3" s="66"/>
      <c r="I3" s="66"/>
      <c r="J3" s="66"/>
      <c r="K3" s="41"/>
    </row>
    <row r="4" spans="1:11" ht="14" customHeight="1" x14ac:dyDescent="0.35">
      <c r="A4" s="41"/>
      <c r="B4"/>
      <c r="C4" s="29"/>
      <c r="D4" s="29"/>
      <c r="E4" s="29"/>
      <c r="F4" s="29"/>
      <c r="G4" s="29"/>
      <c r="H4" s="29"/>
      <c r="I4" s="29"/>
      <c r="J4" s="29"/>
      <c r="K4" s="41"/>
    </row>
    <row r="5" spans="1:11" ht="14" customHeight="1" x14ac:dyDescent="0.35">
      <c r="A5" s="41"/>
      <c r="B5"/>
      <c r="C5" s="29"/>
      <c r="D5" s="29"/>
      <c r="E5" s="29"/>
      <c r="F5" s="29"/>
      <c r="G5" s="29"/>
      <c r="H5" s="29"/>
      <c r="I5" s="29"/>
      <c r="J5" s="29"/>
      <c r="K5" s="41"/>
    </row>
    <row r="6" spans="1:11" ht="14" customHeight="1" x14ac:dyDescent="0.35">
      <c r="A6" s="41"/>
      <c r="B6"/>
      <c r="C6" s="29"/>
      <c r="D6" s="29"/>
      <c r="E6" s="29"/>
      <c r="F6" s="29"/>
      <c r="G6" s="29"/>
      <c r="H6" s="29"/>
      <c r="I6" s="29"/>
      <c r="J6" s="29"/>
      <c r="K6" s="41"/>
    </row>
    <row r="7" spans="1:11" ht="14" customHeight="1" x14ac:dyDescent="0.35">
      <c r="A7" s="41"/>
      <c r="B7"/>
      <c r="C7" s="29"/>
      <c r="D7" s="29"/>
      <c r="E7" s="29"/>
      <c r="F7" s="29"/>
      <c r="G7" s="29"/>
      <c r="H7" s="29"/>
      <c r="I7" s="29"/>
      <c r="J7" s="29"/>
      <c r="K7" s="41"/>
    </row>
    <row r="8" spans="1:11" ht="14" customHeight="1" x14ac:dyDescent="0.35">
      <c r="A8" s="41"/>
      <c r="B8"/>
      <c r="C8" s="29"/>
      <c r="D8" s="29"/>
      <c r="E8" s="29"/>
      <c r="F8" s="29"/>
      <c r="G8" s="29"/>
      <c r="H8" s="29"/>
      <c r="I8" s="29"/>
      <c r="J8" s="29"/>
      <c r="K8" s="41"/>
    </row>
    <row r="9" spans="1:11" ht="14" customHeight="1" x14ac:dyDescent="0.35">
      <c r="A9" s="41"/>
      <c r="B9"/>
      <c r="C9" s="29"/>
      <c r="D9" s="29"/>
      <c r="E9" s="29"/>
      <c r="F9" s="29"/>
      <c r="G9" s="29"/>
      <c r="H9" s="29"/>
      <c r="I9" s="29"/>
      <c r="J9" s="29"/>
      <c r="K9" s="41"/>
    </row>
    <row r="10" spans="1:11" ht="14" customHeight="1" x14ac:dyDescent="0.35">
      <c r="A10" s="41"/>
      <c r="B10"/>
      <c r="C10" s="29"/>
      <c r="D10" s="29"/>
      <c r="E10" s="29"/>
      <c r="F10" s="29"/>
      <c r="G10" s="29"/>
      <c r="H10" s="29"/>
      <c r="I10" s="29"/>
      <c r="J10" s="29"/>
      <c r="K10" s="41"/>
    </row>
    <row r="11" spans="1:11" ht="14" customHeight="1" x14ac:dyDescent="0.35">
      <c r="A11" s="41"/>
      <c r="B11"/>
      <c r="C11" s="29"/>
      <c r="D11" s="29"/>
      <c r="E11" s="29"/>
      <c r="F11" s="29"/>
      <c r="G11" s="29"/>
      <c r="H11" s="29"/>
      <c r="I11" s="29"/>
      <c r="J11" s="29"/>
      <c r="K11" s="41"/>
    </row>
    <row r="12" spans="1:11" ht="14" customHeight="1" x14ac:dyDescent="0.35">
      <c r="A12" s="41"/>
      <c r="B12"/>
      <c r="C12" s="29"/>
      <c r="D12" s="29"/>
      <c r="E12" s="29"/>
      <c r="F12" s="29"/>
      <c r="G12" s="29"/>
      <c r="H12" s="29"/>
      <c r="I12" s="29"/>
      <c r="J12" s="29"/>
      <c r="K12" s="41"/>
    </row>
    <row r="13" spans="1:11" ht="14" customHeight="1" x14ac:dyDescent="0.35">
      <c r="A13" s="41"/>
      <c r="B13"/>
      <c r="C13" s="29"/>
      <c r="D13" s="29"/>
      <c r="E13" s="29"/>
      <c r="F13" s="29"/>
      <c r="G13" s="29"/>
      <c r="H13" s="29"/>
      <c r="I13" s="29"/>
      <c r="J13" s="29"/>
      <c r="K13" s="41"/>
    </row>
    <row r="14" spans="1:11" ht="14" customHeight="1" x14ac:dyDescent="0.35">
      <c r="A14" s="41"/>
      <c r="B14"/>
      <c r="C14" s="29"/>
      <c r="D14" s="29"/>
      <c r="E14" s="29"/>
      <c r="F14" s="29"/>
      <c r="G14" s="29"/>
      <c r="H14" s="29"/>
      <c r="I14" s="29"/>
      <c r="J14" s="29"/>
      <c r="K14" s="41"/>
    </row>
    <row r="15" spans="1:11" ht="14" customHeight="1" x14ac:dyDescent="0.35">
      <c r="A15" s="41"/>
      <c r="B15"/>
      <c r="C15" s="29"/>
      <c r="D15" s="29"/>
      <c r="E15" s="29"/>
      <c r="F15" s="29"/>
      <c r="G15" s="29"/>
      <c r="H15" s="29"/>
      <c r="I15" s="29"/>
      <c r="J15" s="29"/>
      <c r="K15" s="41"/>
    </row>
    <row r="16" spans="1:11" x14ac:dyDescent="0.35">
      <c r="A16" s="41"/>
      <c r="B16" s="41"/>
      <c r="C16" s="41"/>
      <c r="D16" s="41"/>
      <c r="E16" s="41"/>
      <c r="F16" s="41"/>
      <c r="G16" s="41"/>
      <c r="H16" s="41"/>
      <c r="I16" s="41"/>
      <c r="J16" s="41"/>
      <c r="K16" s="41"/>
    </row>
    <row r="17" spans="1:11" ht="18.5" customHeight="1" x14ac:dyDescent="0.35">
      <c r="A17" s="41"/>
      <c r="B17" s="41"/>
      <c r="C17" s="41"/>
      <c r="D17" s="41"/>
      <c r="E17" s="41"/>
      <c r="F17" s="41"/>
      <c r="G17" s="41"/>
      <c r="H17" s="41"/>
      <c r="I17" s="41"/>
      <c r="J17" s="41"/>
      <c r="K17" s="41"/>
    </row>
    <row r="18" spans="1:11" x14ac:dyDescent="0.35">
      <c r="A18" s="41"/>
      <c r="B18" s="41"/>
    </row>
    <row r="19" spans="1:11" x14ac:dyDescent="0.35">
      <c r="A19" s="41"/>
      <c r="B19" s="41"/>
      <c r="C19" s="45" t="s">
        <v>54</v>
      </c>
      <c r="D19" s="45"/>
    </row>
    <row r="20" spans="1:11" ht="16.5" customHeight="1" x14ac:dyDescent="0.45">
      <c r="A20" s="41"/>
      <c r="B20" s="41"/>
      <c r="C20" s="35" t="s">
        <v>55</v>
      </c>
      <c r="D20" s="36"/>
      <c r="F20" s="37" t="str">
        <f ca="1">IF(D20=TODAY(),"You got it!","")</f>
        <v/>
      </c>
    </row>
    <row r="21" spans="1:11" ht="16.5" customHeight="1" thickBot="1" x14ac:dyDescent="0.4">
      <c r="A21" s="41"/>
      <c r="B21" s="41"/>
      <c r="C21" s="35" t="s">
        <v>69</v>
      </c>
      <c r="D21" s="43"/>
    </row>
    <row r="22" spans="1:11" ht="16.5" customHeight="1" thickTop="1" thickBot="1" x14ac:dyDescent="0.4">
      <c r="A22" s="41"/>
      <c r="B22" s="41"/>
      <c r="C22" s="42" t="s">
        <v>57</v>
      </c>
      <c r="D22" s="44"/>
    </row>
    <row r="23" spans="1:11" ht="15" thickTop="1" x14ac:dyDescent="0.35">
      <c r="A23" s="41"/>
      <c r="B23" s="41"/>
    </row>
    <row r="24" spans="1:11" ht="15" thickBot="1" x14ac:dyDescent="0.4">
      <c r="A24" s="41"/>
      <c r="B24" s="41"/>
      <c r="C24" s="35" t="s">
        <v>58</v>
      </c>
      <c r="D24" s="38"/>
    </row>
    <row r="25" spans="1:11" ht="15.5" thickTop="1" thickBot="1" x14ac:dyDescent="0.4">
      <c r="A25" s="41"/>
      <c r="B25" s="41"/>
      <c r="C25" s="35" t="s">
        <v>59</v>
      </c>
      <c r="D25" s="47"/>
    </row>
    <row r="26" spans="1:11" ht="15" thickTop="1" x14ac:dyDescent="0.35">
      <c r="A26" s="41"/>
      <c r="B26" s="41"/>
    </row>
    <row r="27" spans="1:11" x14ac:dyDescent="0.35">
      <c r="A27" s="41"/>
      <c r="B27" s="41"/>
    </row>
    <row r="28" spans="1:11" x14ac:dyDescent="0.35">
      <c r="A28" s="41"/>
      <c r="B28" s="41"/>
    </row>
    <row r="29" spans="1:11" x14ac:dyDescent="0.35">
      <c r="A29" s="41"/>
      <c r="B29" s="41"/>
    </row>
    <row r="30" spans="1:11" x14ac:dyDescent="0.35">
      <c r="A30" s="41"/>
      <c r="B30" s="41"/>
    </row>
    <row r="31" spans="1:11" x14ac:dyDescent="0.35">
      <c r="A31" s="41"/>
      <c r="B31" s="41"/>
    </row>
    <row r="32" spans="1:11" x14ac:dyDescent="0.35">
      <c r="A32" s="41"/>
      <c r="B32" s="41"/>
    </row>
    <row r="33" spans="1:20" x14ac:dyDescent="0.35">
      <c r="A33" s="41"/>
      <c r="B33" s="41"/>
    </row>
    <row r="34" spans="1:20" x14ac:dyDescent="0.35">
      <c r="A34" s="41"/>
      <c r="B34" s="41"/>
    </row>
    <row r="35" spans="1:20" x14ac:dyDescent="0.35">
      <c r="A35" s="41"/>
      <c r="B35" s="41"/>
      <c r="S35" s="60"/>
    </row>
    <row r="36" spans="1:20" x14ac:dyDescent="0.35">
      <c r="A36" s="41"/>
      <c r="B36" s="41"/>
      <c r="T36" s="61" t="s">
        <v>89</v>
      </c>
    </row>
    <row r="37" spans="1:20" x14ac:dyDescent="0.35">
      <c r="A37" s="41"/>
      <c r="B37" s="41"/>
      <c r="C37" s="45" t="s">
        <v>54</v>
      </c>
      <c r="D37" s="45"/>
      <c r="N37" s="57" t="s">
        <v>83</v>
      </c>
      <c r="O37" s="56">
        <v>25011</v>
      </c>
      <c r="Q37" s="57" t="s">
        <v>87</v>
      </c>
      <c r="R37" s="58">
        <f ca="1">DATE(R40,R39,R38)</f>
        <v>45099</v>
      </c>
      <c r="T37" s="62">
        <f ca="1">DATE(IF(MONTH(TODAY())&gt;MONTH(O37),YEAR(TODAY())+1,YEAR(TODAY())),MONTH(O37),DAY(O37))</f>
        <v>45099</v>
      </c>
    </row>
    <row r="38" spans="1:20" ht="15" thickBot="1" x14ac:dyDescent="0.4">
      <c r="A38" s="41"/>
      <c r="B38" s="41"/>
      <c r="C38" s="35" t="s">
        <v>71</v>
      </c>
      <c r="D38" s="36"/>
      <c r="N38" s="63" t="s">
        <v>84</v>
      </c>
      <c r="O38" s="63">
        <f>DAY(O37)</f>
        <v>22</v>
      </c>
      <c r="Q38" s="64" t="s">
        <v>84</v>
      </c>
      <c r="R38" s="64">
        <f>O38</f>
        <v>22</v>
      </c>
    </row>
    <row r="39" spans="1:20" ht="15.5" thickTop="1" thickBot="1" x14ac:dyDescent="0.4">
      <c r="A39" s="41"/>
      <c r="B39" s="41"/>
      <c r="C39" s="35" t="s">
        <v>70</v>
      </c>
      <c r="D39" s="44"/>
      <c r="N39" s="63" t="s">
        <v>85</v>
      </c>
      <c r="O39" s="63">
        <f>MONTH(O37)</f>
        <v>6</v>
      </c>
      <c r="Q39" s="64" t="s">
        <v>85</v>
      </c>
      <c r="R39" s="64">
        <f>O39</f>
        <v>6</v>
      </c>
    </row>
    <row r="40" spans="1:20" ht="15.5" thickTop="1" thickBot="1" x14ac:dyDescent="0.4">
      <c r="A40" s="41"/>
      <c r="B40" s="41"/>
      <c r="C40" s="35" t="s">
        <v>72</v>
      </c>
      <c r="D40" s="44"/>
      <c r="N40" s="63" t="s">
        <v>86</v>
      </c>
      <c r="O40" s="63">
        <f>YEAR(O37)</f>
        <v>1968</v>
      </c>
      <c r="Q40" s="64" t="s">
        <v>86</v>
      </c>
      <c r="R40" s="64">
        <f ca="1">IF(O44&gt;R39,O45+1,O45)</f>
        <v>2023</v>
      </c>
    </row>
    <row r="41" spans="1:20" ht="15.5" thickTop="1" thickBot="1" x14ac:dyDescent="0.4">
      <c r="A41" s="41"/>
      <c r="B41" s="41"/>
      <c r="C41" s="35" t="s">
        <v>73</v>
      </c>
      <c r="D41" s="44"/>
    </row>
    <row r="42" spans="1:20" ht="15" thickTop="1" x14ac:dyDescent="0.35">
      <c r="A42" s="41"/>
      <c r="B42" s="41"/>
      <c r="N42" s="57" t="s">
        <v>88</v>
      </c>
      <c r="O42" s="59">
        <f ca="1">TODAY()</f>
        <v>44834</v>
      </c>
    </row>
    <row r="43" spans="1:20" x14ac:dyDescent="0.35">
      <c r="A43" s="41"/>
      <c r="B43" s="41"/>
      <c r="N43" s="64" t="s">
        <v>84</v>
      </c>
      <c r="O43" s="64">
        <f ca="1">DAY(O42)</f>
        <v>30</v>
      </c>
    </row>
    <row r="44" spans="1:20" x14ac:dyDescent="0.35">
      <c r="A44" s="41"/>
      <c r="B44" s="41"/>
      <c r="N44" s="64" t="s">
        <v>85</v>
      </c>
      <c r="O44" s="64">
        <f ca="1">MONTH(O42)</f>
        <v>9</v>
      </c>
    </row>
    <row r="45" spans="1:20" x14ac:dyDescent="0.35">
      <c r="A45" s="41"/>
      <c r="B45" s="41"/>
      <c r="N45" s="64" t="s">
        <v>86</v>
      </c>
      <c r="O45" s="64">
        <f ca="1">YEAR(O42)</f>
        <v>2022</v>
      </c>
    </row>
    <row r="46" spans="1:20" x14ac:dyDescent="0.35">
      <c r="A46" s="41"/>
      <c r="B46" s="41"/>
    </row>
    <row r="47" spans="1:20" x14ac:dyDescent="0.35">
      <c r="A47" s="41"/>
      <c r="B47" s="41"/>
    </row>
    <row r="48" spans="1:20" x14ac:dyDescent="0.35">
      <c r="A48" s="41"/>
      <c r="B48" s="41"/>
    </row>
    <row r="49" spans="1:7" x14ac:dyDescent="0.35">
      <c r="A49" s="41"/>
      <c r="B49" s="41"/>
    </row>
    <row r="50" spans="1:7" ht="15" thickBot="1" x14ac:dyDescent="0.4">
      <c r="A50" s="41"/>
      <c r="B50" s="41"/>
      <c r="C50" s="45" t="s">
        <v>54</v>
      </c>
      <c r="D50" s="45"/>
      <c r="F50" s="45" t="s">
        <v>54</v>
      </c>
      <c r="G50" s="45"/>
    </row>
    <row r="51" spans="1:7" ht="15.5" thickTop="1" thickBot="1" x14ac:dyDescent="0.4">
      <c r="A51" s="41"/>
      <c r="B51" s="41"/>
      <c r="C51" s="35" t="s">
        <v>73</v>
      </c>
      <c r="D51" s="46"/>
      <c r="F51" s="35" t="s">
        <v>74</v>
      </c>
      <c r="G51" s="48"/>
    </row>
    <row r="52" spans="1:7" ht="15" thickTop="1" x14ac:dyDescent="0.35">
      <c r="A52" s="41"/>
      <c r="B52" s="41"/>
      <c r="C52" s="35" t="s">
        <v>70</v>
      </c>
      <c r="D52" s="46"/>
    </row>
    <row r="53" spans="1:7" x14ac:dyDescent="0.35">
      <c r="A53" s="41"/>
      <c r="B53" s="41"/>
      <c r="C53" s="35" t="s">
        <v>72</v>
      </c>
      <c r="D53" s="46"/>
    </row>
    <row r="54" spans="1:7" x14ac:dyDescent="0.35">
      <c r="A54" s="41"/>
      <c r="B54" s="41"/>
    </row>
    <row r="55" spans="1:7" x14ac:dyDescent="0.35">
      <c r="A55" s="41"/>
      <c r="B55" s="41"/>
    </row>
    <row r="56" spans="1:7" x14ac:dyDescent="0.35">
      <c r="A56" s="41"/>
      <c r="B56" s="41"/>
    </row>
    <row r="57" spans="1:7" x14ac:dyDescent="0.35">
      <c r="A57" s="41"/>
      <c r="B57" s="41"/>
    </row>
    <row r="58" spans="1:7" x14ac:dyDescent="0.35">
      <c r="A58" s="41"/>
      <c r="B58" s="41"/>
    </row>
    <row r="59" spans="1:7" x14ac:dyDescent="0.35">
      <c r="A59" s="41"/>
      <c r="B59" s="41"/>
    </row>
    <row r="60" spans="1:7" x14ac:dyDescent="0.35">
      <c r="A60" s="41"/>
      <c r="B60" s="41"/>
    </row>
    <row r="61" spans="1:7" x14ac:dyDescent="0.35">
      <c r="A61" s="41"/>
      <c r="B61" s="41"/>
    </row>
    <row r="62" spans="1:7" x14ac:dyDescent="0.35">
      <c r="A62" s="41"/>
      <c r="B62" s="41"/>
    </row>
    <row r="63" spans="1:7" x14ac:dyDescent="0.35">
      <c r="A63" s="41"/>
      <c r="B63" s="41"/>
    </row>
    <row r="64" spans="1:7" ht="224" customHeight="1" x14ac:dyDescent="0.35">
      <c r="A64" s="41"/>
      <c r="B64" s="28" t="s">
        <v>68</v>
      </c>
    </row>
    <row r="65" spans="1:2" x14ac:dyDescent="0.35">
      <c r="A65" s="41"/>
      <c r="B65" s="41"/>
    </row>
    <row r="66" spans="1:2" x14ac:dyDescent="0.35">
      <c r="A66" s="41"/>
      <c r="B66" s="41"/>
    </row>
    <row r="67" spans="1:2" x14ac:dyDescent="0.35">
      <c r="A67" s="41"/>
      <c r="B67" s="41"/>
    </row>
    <row r="68" spans="1:2" x14ac:dyDescent="0.35">
      <c r="A68" s="41"/>
      <c r="B68" s="41"/>
    </row>
    <row r="69" spans="1:2" x14ac:dyDescent="0.35">
      <c r="A69" s="41"/>
      <c r="B69" s="41"/>
    </row>
    <row r="70" spans="1:2" x14ac:dyDescent="0.35">
      <c r="A70" s="41"/>
      <c r="B70" s="41"/>
    </row>
    <row r="71" spans="1:2" x14ac:dyDescent="0.35">
      <c r="A71" s="41"/>
      <c r="B71" s="41"/>
    </row>
    <row r="72" spans="1:2" x14ac:dyDescent="0.35">
      <c r="A72" s="41"/>
      <c r="B72" s="41"/>
    </row>
    <row r="73" spans="1:2" x14ac:dyDescent="0.35">
      <c r="A73" s="41"/>
      <c r="B73" s="41"/>
    </row>
    <row r="74" spans="1:2" x14ac:dyDescent="0.35">
      <c r="A74" s="41"/>
      <c r="B74" s="41"/>
    </row>
    <row r="75" spans="1:2" x14ac:dyDescent="0.35">
      <c r="A75" s="41"/>
      <c r="B75" s="41"/>
    </row>
    <row r="76" spans="1:2" x14ac:dyDescent="0.35">
      <c r="A76" s="41"/>
      <c r="B76" s="41"/>
    </row>
    <row r="77" spans="1:2" x14ac:dyDescent="0.35">
      <c r="A77" s="41"/>
      <c r="B77" s="41"/>
    </row>
    <row r="78" spans="1:2" x14ac:dyDescent="0.35">
      <c r="A78" s="41"/>
      <c r="B78" s="41"/>
    </row>
    <row r="79" spans="1:2" x14ac:dyDescent="0.35">
      <c r="A79" s="41"/>
      <c r="B79" s="41"/>
    </row>
    <row r="80" spans="1:2" x14ac:dyDescent="0.35">
      <c r="A80" s="41"/>
      <c r="B80" s="41"/>
    </row>
    <row r="81" spans="1:4" x14ac:dyDescent="0.35">
      <c r="A81" s="41"/>
      <c r="B81" s="41"/>
    </row>
    <row r="82" spans="1:4" x14ac:dyDescent="0.35">
      <c r="A82" s="41"/>
      <c r="B82" s="41"/>
    </row>
    <row r="83" spans="1:4" x14ac:dyDescent="0.35">
      <c r="A83" s="41"/>
      <c r="B83" s="41"/>
    </row>
    <row r="84" spans="1:4" x14ac:dyDescent="0.35">
      <c r="A84" s="41"/>
      <c r="B84" s="41"/>
    </row>
    <row r="85" spans="1:4" x14ac:dyDescent="0.35">
      <c r="A85" s="41"/>
      <c r="B85" s="41"/>
    </row>
    <row r="86" spans="1:4" x14ac:dyDescent="0.35">
      <c r="A86" s="41"/>
      <c r="B86" s="41"/>
    </row>
    <row r="87" spans="1:4" x14ac:dyDescent="0.35">
      <c r="A87" s="41"/>
      <c r="B87" s="41"/>
    </row>
    <row r="88" spans="1:4" x14ac:dyDescent="0.35">
      <c r="A88" s="41"/>
      <c r="B88" s="41"/>
    </row>
    <row r="89" spans="1:4" x14ac:dyDescent="0.35">
      <c r="A89" s="41"/>
      <c r="B89" s="41"/>
    </row>
    <row r="90" spans="1:4" x14ac:dyDescent="0.35">
      <c r="A90" s="41"/>
      <c r="B90" s="41"/>
    </row>
    <row r="91" spans="1:4" x14ac:dyDescent="0.35">
      <c r="A91" s="41"/>
      <c r="B91" s="41"/>
    </row>
    <row r="92" spans="1:4" ht="15" customHeight="1" x14ac:dyDescent="0.35">
      <c r="A92" s="41"/>
      <c r="B92" s="41"/>
      <c r="C92" s="33"/>
      <c r="D92" s="34"/>
    </row>
    <row r="93" spans="1:4" x14ac:dyDescent="0.35">
      <c r="A93" s="41"/>
      <c r="B93" s="41"/>
    </row>
    <row r="94" spans="1:4" x14ac:dyDescent="0.35">
      <c r="A94" s="41"/>
      <c r="B94" s="41"/>
    </row>
    <row r="95" spans="1:4" x14ac:dyDescent="0.35">
      <c r="A95" s="41"/>
      <c r="B95" s="41"/>
    </row>
    <row r="96" spans="1:4" x14ac:dyDescent="0.35">
      <c r="A96" s="41"/>
      <c r="B96" s="41"/>
    </row>
    <row r="97" spans="1:4" x14ac:dyDescent="0.35">
      <c r="A97" s="41"/>
      <c r="B97" s="41"/>
    </row>
    <row r="98" spans="1:4" x14ac:dyDescent="0.35">
      <c r="A98" s="41"/>
      <c r="B98" s="41"/>
    </row>
    <row r="99" spans="1:4" x14ac:dyDescent="0.35">
      <c r="A99" s="41"/>
      <c r="B99" s="41"/>
    </row>
    <row r="100" spans="1:4" x14ac:dyDescent="0.35">
      <c r="A100" s="41"/>
      <c r="B100" s="41"/>
    </row>
    <row r="101" spans="1:4" x14ac:dyDescent="0.35">
      <c r="A101" s="41"/>
      <c r="B101" s="41"/>
    </row>
    <row r="102" spans="1:4" x14ac:dyDescent="0.35">
      <c r="A102" s="41"/>
      <c r="B102" s="41"/>
    </row>
    <row r="103" spans="1:4" x14ac:dyDescent="0.35">
      <c r="A103" s="41"/>
      <c r="B103" s="41"/>
    </row>
    <row r="104" spans="1:4" x14ac:dyDescent="0.35">
      <c r="A104" s="41"/>
      <c r="B104" s="41"/>
      <c r="C104" s="45" t="s">
        <v>56</v>
      </c>
      <c r="D104" s="45"/>
    </row>
    <row r="105" spans="1:4" x14ac:dyDescent="0.35">
      <c r="A105" s="41"/>
      <c r="B105" s="41"/>
      <c r="C105" s="35" t="s">
        <v>60</v>
      </c>
      <c r="D105" s="39"/>
    </row>
    <row r="106" spans="1:4" x14ac:dyDescent="0.35">
      <c r="A106" s="41"/>
      <c r="B106" s="41"/>
    </row>
    <row r="107" spans="1:4" x14ac:dyDescent="0.35">
      <c r="A107" s="41"/>
      <c r="B107" s="41"/>
    </row>
    <row r="108" spans="1:4" x14ac:dyDescent="0.35">
      <c r="A108" s="41"/>
      <c r="B108" s="41"/>
      <c r="C108" s="45" t="s">
        <v>61</v>
      </c>
      <c r="D108" s="45"/>
    </row>
    <row r="109" spans="1:4" x14ac:dyDescent="0.35">
      <c r="A109" s="41"/>
      <c r="B109" s="41"/>
      <c r="C109" s="35" t="s">
        <v>62</v>
      </c>
      <c r="D109" s="40">
        <v>0.33333333333333331</v>
      </c>
    </row>
    <row r="110" spans="1:4" x14ac:dyDescent="0.35">
      <c r="A110" s="41"/>
      <c r="B110" s="41"/>
      <c r="C110" s="35" t="s">
        <v>63</v>
      </c>
      <c r="D110" s="40">
        <v>0.5</v>
      </c>
    </row>
    <row r="111" spans="1:4" x14ac:dyDescent="0.35">
      <c r="A111" s="41"/>
      <c r="B111" s="41"/>
      <c r="C111" s="35" t="s">
        <v>64</v>
      </c>
      <c r="D111" s="40">
        <v>0.54166666666666663</v>
      </c>
    </row>
    <row r="112" spans="1:4" ht="15" thickBot="1" x14ac:dyDescent="0.4">
      <c r="A112" s="41"/>
      <c r="B112" s="41"/>
      <c r="C112" s="35" t="s">
        <v>65</v>
      </c>
      <c r="D112" s="40">
        <v>0.70833333333333337</v>
      </c>
    </row>
    <row r="113" spans="1:4" ht="15.5" thickTop="1" thickBot="1" x14ac:dyDescent="0.4">
      <c r="A113" s="41"/>
      <c r="B113" s="41"/>
      <c r="C113" s="35" t="s">
        <v>66</v>
      </c>
      <c r="D113" s="44">
        <f>((D112-D109)-(D111-D110))*24</f>
        <v>8.0000000000000018</v>
      </c>
    </row>
    <row r="114" spans="1:4" ht="15" thickTop="1" x14ac:dyDescent="0.35">
      <c r="A114" s="41"/>
      <c r="B114" s="41"/>
    </row>
    <row r="115" spans="1:4" x14ac:dyDescent="0.35">
      <c r="A115" s="41"/>
      <c r="B115" s="41"/>
    </row>
    <row r="116" spans="1:4" x14ac:dyDescent="0.35">
      <c r="A116" s="41"/>
      <c r="B116" s="41"/>
    </row>
    <row r="117" spans="1:4" x14ac:dyDescent="0.35">
      <c r="A117" s="41"/>
      <c r="B117" s="41"/>
    </row>
    <row r="118" spans="1:4" x14ac:dyDescent="0.35">
      <c r="A118" s="41"/>
      <c r="B118" s="41"/>
      <c r="C118" s="49"/>
      <c r="D118" s="49"/>
    </row>
    <row r="119" spans="1:4" x14ac:dyDescent="0.35">
      <c r="A119" s="41"/>
      <c r="B119" s="41"/>
      <c r="C119" s="50"/>
      <c r="D119" s="51"/>
    </row>
    <row r="120" spans="1:4" x14ac:dyDescent="0.35">
      <c r="C120" s="50"/>
      <c r="D120" s="52"/>
    </row>
  </sheetData>
  <mergeCells count="1">
    <mergeCell ref="C3:J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15E94-8540-400C-90D0-F6480555E8FF}">
  <sheetPr>
    <tabColor rgb="FF00B0F0"/>
  </sheetPr>
  <dimension ref="B2:N102"/>
  <sheetViews>
    <sheetView topLeftCell="A2" zoomScale="130" zoomScaleNormal="130" workbookViewId="0">
      <selection activeCell="C2" sqref="C2:J2"/>
    </sheetView>
  </sheetViews>
  <sheetFormatPr defaultColWidth="9" defaultRowHeight="14.5" x14ac:dyDescent="0.35"/>
  <cols>
    <col min="2" max="2" width="24.7265625" customWidth="1"/>
    <col min="3" max="3" width="17.08984375" customWidth="1"/>
    <col min="4" max="4" width="43.453125" customWidth="1"/>
    <col min="5" max="5" width="16" customWidth="1"/>
    <col min="6" max="6" width="6.7265625" customWidth="1"/>
    <col min="7" max="7" width="21.26953125" customWidth="1"/>
    <col min="8" max="8" width="18.81640625" customWidth="1"/>
    <col min="9" max="9" width="14.7265625" customWidth="1"/>
    <col min="10" max="10" width="14.81640625" customWidth="1"/>
    <col min="11" max="11" width="17.1796875" customWidth="1"/>
    <col min="12" max="12" width="16.54296875" customWidth="1"/>
    <col min="13" max="13" width="12.7265625" customWidth="1"/>
    <col min="14" max="14" width="12.26953125" customWidth="1"/>
  </cols>
  <sheetData>
    <row r="2" spans="2:14" ht="83" customHeight="1" x14ac:dyDescent="0.35">
      <c r="B2" s="31" t="s">
        <v>49</v>
      </c>
      <c r="C2" s="65" t="s">
        <v>82</v>
      </c>
      <c r="D2" s="66"/>
      <c r="E2" s="66"/>
      <c r="F2" s="66"/>
      <c r="G2" s="66"/>
      <c r="H2" s="66"/>
      <c r="I2" s="66"/>
      <c r="J2" s="66"/>
    </row>
    <row r="3" spans="2:14" x14ac:dyDescent="0.35">
      <c r="C3" s="29"/>
      <c r="D3" s="29"/>
      <c r="E3" s="29"/>
      <c r="F3" s="29"/>
      <c r="G3" s="29"/>
      <c r="H3" s="29"/>
      <c r="I3" s="29"/>
      <c r="J3" s="29"/>
    </row>
    <row r="4" spans="2:14" ht="35" customHeight="1" x14ac:dyDescent="0.35">
      <c r="B4" s="30" t="s">
        <v>50</v>
      </c>
      <c r="C4" s="65" t="s">
        <v>81</v>
      </c>
      <c r="D4" s="66"/>
      <c r="E4" s="66"/>
      <c r="F4" s="66"/>
      <c r="G4" s="66"/>
      <c r="H4" s="66"/>
      <c r="I4" s="66"/>
      <c r="J4" s="66"/>
    </row>
    <row r="5" spans="2:14" x14ac:dyDescent="0.35">
      <c r="C5" s="29"/>
      <c r="D5" s="29"/>
      <c r="E5" s="29"/>
      <c r="F5" s="29"/>
      <c r="G5" s="29"/>
      <c r="H5" s="29"/>
      <c r="I5" s="29"/>
      <c r="J5" s="29"/>
    </row>
    <row r="6" spans="2:14" x14ac:dyDescent="0.35">
      <c r="C6" s="29"/>
      <c r="D6" s="29"/>
      <c r="E6" s="29"/>
      <c r="F6" s="29"/>
      <c r="G6" s="29"/>
      <c r="H6" s="29"/>
      <c r="I6" s="29"/>
      <c r="J6" s="29"/>
    </row>
    <row r="7" spans="2:14" x14ac:dyDescent="0.35">
      <c r="C7" s="29"/>
      <c r="D7" s="29"/>
      <c r="E7" s="29"/>
      <c r="F7" s="29"/>
      <c r="G7" s="29"/>
      <c r="H7" s="29"/>
      <c r="I7" s="29"/>
      <c r="J7" s="29"/>
    </row>
    <row r="8" spans="2:14" ht="15" thickBot="1" x14ac:dyDescent="0.4">
      <c r="D8" s="35" t="s">
        <v>75</v>
      </c>
      <c r="E8" s="55"/>
    </row>
    <row r="9" spans="2:14" ht="15.5" thickTop="1" thickBot="1" x14ac:dyDescent="0.4">
      <c r="D9" s="35" t="s">
        <v>76</v>
      </c>
      <c r="E9" s="54"/>
    </row>
    <row r="10" spans="2:14" ht="15.5" thickTop="1" thickBot="1" x14ac:dyDescent="0.4">
      <c r="D10" s="35" t="s">
        <v>77</v>
      </c>
      <c r="E10" s="44"/>
    </row>
    <row r="11" spans="2:14" ht="15.5" thickTop="1" thickBot="1" x14ac:dyDescent="0.4">
      <c r="D11" s="35" t="s">
        <v>78</v>
      </c>
      <c r="E11" s="44"/>
    </row>
    <row r="12" spans="2:14" ht="15.5" thickTop="1" thickBot="1" x14ac:dyDescent="0.4">
      <c r="D12" s="35" t="s">
        <v>79</v>
      </c>
      <c r="E12" s="53"/>
    </row>
    <row r="13" spans="2:14" ht="15" thickTop="1" x14ac:dyDescent="0.35"/>
    <row r="16" spans="2:14" s="26" customFormat="1" x14ac:dyDescent="0.35">
      <c r="B16" s="25"/>
      <c r="C16" s="25"/>
      <c r="D16" s="25"/>
      <c r="E16" s="25"/>
      <c r="F16" s="25"/>
      <c r="G16" s="25"/>
      <c r="H16" s="25"/>
      <c r="I16" s="25"/>
      <c r="J16" s="25"/>
      <c r="K16" s="25"/>
      <c r="L16" s="25"/>
      <c r="M16" s="25"/>
      <c r="N16" s="25"/>
    </row>
    <row r="19" spans="4:4" x14ac:dyDescent="0.35">
      <c r="D19" s="35"/>
    </row>
    <row r="102" spans="2:14" x14ac:dyDescent="0.35">
      <c r="B102" s="27"/>
      <c r="C102" s="27"/>
      <c r="D102" s="27"/>
      <c r="E102" s="27"/>
      <c r="F102" s="27"/>
      <c r="G102" s="27"/>
      <c r="H102" s="27"/>
      <c r="I102" s="27"/>
      <c r="J102" s="27"/>
      <c r="K102" s="27"/>
      <c r="L102" s="27"/>
      <c r="M102" s="27"/>
      <c r="N102" s="27"/>
    </row>
  </sheetData>
  <mergeCells count="2">
    <mergeCell ref="C2:J2"/>
    <mergeCell ref="C4:J4"/>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sheetPr>
  <dimension ref="B2:N102"/>
  <sheetViews>
    <sheetView zoomScale="130" zoomScaleNormal="130" workbookViewId="0">
      <selection activeCell="D30" sqref="D30"/>
    </sheetView>
  </sheetViews>
  <sheetFormatPr defaultColWidth="9" defaultRowHeight="14.5" x14ac:dyDescent="0.35"/>
  <cols>
    <col min="2" max="2" width="24.7265625" customWidth="1"/>
    <col min="3" max="3" width="17.08984375" customWidth="1"/>
    <col min="4" max="4" width="43.453125" customWidth="1"/>
    <col min="5" max="5" width="16" customWidth="1"/>
    <col min="6" max="6" width="6.7265625" customWidth="1"/>
    <col min="7" max="7" width="21.26953125" customWidth="1"/>
    <col min="8" max="8" width="18.81640625" customWidth="1"/>
    <col min="9" max="9" width="14.7265625" customWidth="1"/>
    <col min="10" max="10" width="14.81640625" customWidth="1"/>
    <col min="11" max="11" width="17.1796875" customWidth="1"/>
    <col min="12" max="12" width="16.54296875" customWidth="1"/>
    <col min="13" max="13" width="12.7265625" customWidth="1"/>
    <col min="14" max="14" width="12.26953125" customWidth="1"/>
  </cols>
  <sheetData>
    <row r="2" spans="2:14" ht="83" customHeight="1" x14ac:dyDescent="0.35">
      <c r="B2" s="31" t="s">
        <v>49</v>
      </c>
      <c r="C2" s="65" t="s">
        <v>80</v>
      </c>
      <c r="D2" s="66"/>
      <c r="E2" s="66"/>
      <c r="F2" s="66"/>
      <c r="G2" s="66"/>
      <c r="H2" s="66"/>
      <c r="I2" s="66"/>
      <c r="J2" s="66"/>
    </row>
    <row r="3" spans="2:14" x14ac:dyDescent="0.35">
      <c r="C3" s="29"/>
      <c r="D3" s="29"/>
      <c r="E3" s="29"/>
      <c r="F3" s="29"/>
      <c r="G3" s="29"/>
      <c r="H3" s="29"/>
      <c r="I3" s="29"/>
      <c r="J3" s="29"/>
    </row>
    <row r="4" spans="2:14" ht="35" customHeight="1" x14ac:dyDescent="0.35">
      <c r="B4" s="30" t="s">
        <v>50</v>
      </c>
      <c r="C4" s="65" t="s">
        <v>81</v>
      </c>
      <c r="D4" s="66"/>
      <c r="E4" s="66"/>
      <c r="F4" s="66"/>
      <c r="G4" s="66"/>
      <c r="H4" s="66"/>
      <c r="I4" s="66"/>
      <c r="J4" s="66"/>
    </row>
    <row r="5" spans="2:14" x14ac:dyDescent="0.35">
      <c r="C5" s="29"/>
      <c r="D5" s="29"/>
      <c r="E5" s="29"/>
      <c r="F5" s="29"/>
      <c r="G5" s="29"/>
      <c r="H5" s="29"/>
      <c r="I5" s="29"/>
      <c r="J5" s="29"/>
    </row>
    <row r="6" spans="2:14" x14ac:dyDescent="0.35">
      <c r="C6" s="29"/>
      <c r="D6" s="29"/>
      <c r="E6" s="29"/>
      <c r="F6" s="29"/>
      <c r="G6" s="29"/>
      <c r="H6" s="29"/>
      <c r="I6" s="29"/>
      <c r="J6" s="29"/>
    </row>
    <row r="7" spans="2:14" x14ac:dyDescent="0.35">
      <c r="C7" s="29"/>
      <c r="D7" s="29"/>
      <c r="E7" s="29"/>
      <c r="F7" s="29"/>
      <c r="G7" s="29"/>
      <c r="H7" s="29"/>
      <c r="I7" s="29"/>
      <c r="J7" s="29"/>
    </row>
    <row r="8" spans="2:14" ht="15" thickBot="1" x14ac:dyDescent="0.4">
      <c r="D8" s="35" t="s">
        <v>75</v>
      </c>
      <c r="E8" s="55">
        <f ca="1">TODAY()</f>
        <v>44834</v>
      </c>
    </row>
    <row r="9" spans="2:14" ht="15.5" thickTop="1" thickBot="1" x14ac:dyDescent="0.4">
      <c r="D9" s="35" t="s">
        <v>76</v>
      </c>
      <c r="E9" s="54">
        <f ca="1">EOMONTH(E8,0)</f>
        <v>44834</v>
      </c>
    </row>
    <row r="10" spans="2:14" ht="15.5" thickTop="1" thickBot="1" x14ac:dyDescent="0.4">
      <c r="D10" s="35" t="s">
        <v>77</v>
      </c>
      <c r="E10" s="44">
        <f ca="1">DAY(E9)</f>
        <v>30</v>
      </c>
    </row>
    <row r="11" spans="2:14" ht="15.5" thickTop="1" thickBot="1" x14ac:dyDescent="0.4">
      <c r="D11" s="35" t="s">
        <v>78</v>
      </c>
      <c r="E11" s="44">
        <f ca="1">DAY(E8)</f>
        <v>30</v>
      </c>
    </row>
    <row r="12" spans="2:14" ht="15.5" thickTop="1" thickBot="1" x14ac:dyDescent="0.4">
      <c r="D12" s="35" t="s">
        <v>79</v>
      </c>
      <c r="E12" s="53">
        <f ca="1">E10-E11</f>
        <v>0</v>
      </c>
    </row>
    <row r="13" spans="2:14" ht="15" thickTop="1" x14ac:dyDescent="0.35"/>
    <row r="16" spans="2:14" s="26" customFormat="1" x14ac:dyDescent="0.35">
      <c r="B16" s="25"/>
      <c r="C16" s="25"/>
      <c r="D16" s="25"/>
      <c r="E16" s="25"/>
      <c r="F16" s="25"/>
      <c r="G16" s="25"/>
      <c r="H16" s="25"/>
      <c r="I16" s="25"/>
      <c r="J16" s="25"/>
      <c r="K16" s="25"/>
      <c r="L16" s="25"/>
      <c r="M16" s="25"/>
      <c r="N16" s="25"/>
    </row>
    <row r="19" spans="4:4" x14ac:dyDescent="0.35">
      <c r="D19" s="35"/>
    </row>
    <row r="102" spans="2:14" x14ac:dyDescent="0.35">
      <c r="B102" s="27"/>
      <c r="C102" s="27"/>
      <c r="D102" s="27"/>
      <c r="E102" s="27"/>
      <c r="F102" s="27"/>
      <c r="G102" s="27"/>
      <c r="H102" s="27"/>
      <c r="I102" s="27"/>
      <c r="J102" s="27"/>
      <c r="K102" s="27"/>
      <c r="L102" s="27"/>
      <c r="M102" s="27"/>
      <c r="N102" s="27"/>
    </row>
  </sheetData>
  <mergeCells count="2">
    <mergeCell ref="C2:J2"/>
    <mergeCell ref="C4:J4"/>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3">
    <tabColor theme="8" tint="0.39997558519241921"/>
  </sheetPr>
  <dimension ref="C10:N22"/>
  <sheetViews>
    <sheetView workbookViewId="0"/>
  </sheetViews>
  <sheetFormatPr defaultColWidth="11.453125" defaultRowHeight="14.5" x14ac:dyDescent="0.35"/>
  <cols>
    <col min="3" max="3" width="17.1796875" bestFit="1" customWidth="1"/>
    <col min="4" max="4" width="14.7265625" customWidth="1"/>
    <col min="10" max="10" width="11.1796875" customWidth="1"/>
    <col min="14" max="14" width="17.54296875" bestFit="1" customWidth="1"/>
    <col min="15" max="15" width="12.54296875" customWidth="1"/>
  </cols>
  <sheetData>
    <row r="10" spans="3:14" x14ac:dyDescent="0.35">
      <c r="J10" s="17"/>
    </row>
    <row r="11" spans="3:14" x14ac:dyDescent="0.35">
      <c r="J11" s="17"/>
    </row>
    <row r="14" spans="3:14" x14ac:dyDescent="0.35">
      <c r="N14" s="16"/>
    </row>
    <row r="15" spans="3:14" x14ac:dyDescent="0.35">
      <c r="C15" s="2" t="s">
        <v>1</v>
      </c>
      <c r="D15" s="3">
        <v>4</v>
      </c>
      <c r="N15" s="16"/>
    </row>
    <row r="16" spans="3:14" x14ac:dyDescent="0.35">
      <c r="C16" s="2" t="s">
        <v>2</v>
      </c>
      <c r="D16" s="3">
        <v>6.5</v>
      </c>
      <c r="N16" s="16"/>
    </row>
    <row r="17" spans="3:14" x14ac:dyDescent="0.35">
      <c r="C17" s="2" t="s">
        <v>3</v>
      </c>
      <c r="D17" s="4">
        <v>100000</v>
      </c>
      <c r="N17" s="16"/>
    </row>
    <row r="18" spans="3:14" x14ac:dyDescent="0.35">
      <c r="C18" s="2" t="s">
        <v>4</v>
      </c>
      <c r="D18" s="3">
        <v>200000</v>
      </c>
    </row>
    <row r="19" spans="3:14" x14ac:dyDescent="0.35">
      <c r="C19" s="2" t="s">
        <v>5</v>
      </c>
      <c r="D19" s="3">
        <v>400000</v>
      </c>
    </row>
    <row r="20" spans="3:14" x14ac:dyDescent="0.35">
      <c r="C20" s="2" t="s">
        <v>6</v>
      </c>
      <c r="D20" s="3">
        <f>D19+D18</f>
        <v>600000</v>
      </c>
    </row>
    <row r="21" spans="3:14" x14ac:dyDescent="0.35">
      <c r="C21" s="2" t="s">
        <v>7</v>
      </c>
      <c r="D21" s="3">
        <f>D17*D16</f>
        <v>650000</v>
      </c>
    </row>
    <row r="22" spans="3:14" x14ac:dyDescent="0.35">
      <c r="C22" s="5" t="s">
        <v>8</v>
      </c>
      <c r="D22" s="6">
        <f>D21-D20</f>
        <v>50000</v>
      </c>
    </row>
  </sheetData>
  <scenarios current="1" sqref="D20:D22">
    <scenario name="aa" locked="1" count="5" user="Xavier Hernanz" comment="Creado por Xavier Hernanz el 06/07/2011">
      <inputCells r="D15" val="4" numFmtId="166"/>
      <inputCells r="D16" val="6,5" numFmtId="166"/>
      <inputCells r="D17" val="100000" numFmtId="167"/>
      <inputCells r="D18" val="200000" numFmtId="166"/>
      <inputCells r="D19" val="400000" numFmtId="166"/>
    </scenario>
    <scenario name="bb" locked="1" count="5" user="Xavier Hernanz" comment="Creado por Xavier Hernanz el 06/07/2011">
      <inputCells r="D15" val="4" numFmtId="166"/>
      <inputCells r="D16" val="4" numFmtId="166"/>
      <inputCells r="D17" val="100000" numFmtId="167"/>
      <inputCells r="D18" val="200000" numFmtId="166"/>
      <inputCells r="D19" val="400000" numFmtId="166"/>
    </scenario>
  </scenario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4">
    <tabColor theme="6" tint="-0.249977111117893"/>
  </sheetPr>
  <dimension ref="A1:E8"/>
  <sheetViews>
    <sheetView workbookViewId="0"/>
  </sheetViews>
  <sheetFormatPr defaultColWidth="11.453125" defaultRowHeight="14.5" x14ac:dyDescent="0.35"/>
  <cols>
    <col min="1" max="1" width="16.7265625" bestFit="1" customWidth="1"/>
    <col min="3" max="3" width="17" bestFit="1" customWidth="1"/>
  </cols>
  <sheetData>
    <row r="1" spans="1:5" ht="26" x14ac:dyDescent="0.6">
      <c r="A1" s="7" t="s">
        <v>9</v>
      </c>
    </row>
    <row r="5" spans="1:5" x14ac:dyDescent="0.35">
      <c r="C5" s="8" t="s">
        <v>0</v>
      </c>
      <c r="D5" s="9">
        <v>10000</v>
      </c>
      <c r="E5" s="9"/>
    </row>
    <row r="6" spans="1:5" x14ac:dyDescent="0.35">
      <c r="C6" s="10" t="s">
        <v>10</v>
      </c>
      <c r="D6" s="11">
        <v>5</v>
      </c>
      <c r="E6" s="11" t="s">
        <v>11</v>
      </c>
    </row>
    <row r="7" spans="1:5" x14ac:dyDescent="0.35">
      <c r="C7" s="8" t="s">
        <v>12</v>
      </c>
      <c r="D7" s="12">
        <v>7.2</v>
      </c>
      <c r="E7" s="9" t="s">
        <v>13</v>
      </c>
    </row>
    <row r="8" spans="1:5" x14ac:dyDescent="0.35">
      <c r="C8" s="13" t="s">
        <v>14</v>
      </c>
      <c r="D8" s="14">
        <f>PMT(D7/1200,D6*12,-D5)</f>
        <v>198.956948194017</v>
      </c>
      <c r="E8" s="1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4073E82C5C590418396DC255F0DC745" ma:contentTypeVersion="13" ma:contentTypeDescription="Crear nuevo documento." ma:contentTypeScope="" ma:versionID="7d5f230db50da0a02171c3e18d7897cf">
  <xsd:schema xmlns:xsd="http://www.w3.org/2001/XMLSchema" xmlns:xs="http://www.w3.org/2001/XMLSchema" xmlns:p="http://schemas.microsoft.com/office/2006/metadata/properties" xmlns:ns2="76c91d98-7809-481a-a1ac-bd62ec4f59fb" xmlns:ns3="85e6ab8e-cbd2-4a96-93f4-452498ebce46" targetNamespace="http://schemas.microsoft.com/office/2006/metadata/properties" ma:root="true" ma:fieldsID="9c40cd1b29989cc5d6495f5265c0bcf2" ns2:_="" ns3:_="">
    <xsd:import namespace="76c91d98-7809-481a-a1ac-bd62ec4f59fb"/>
    <xsd:import namespace="85e6ab8e-cbd2-4a96-93f4-452498ebce4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c91d98-7809-481a-a1ac-bd62ec4f59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87da879-9240-4ca9-a76a-392843ffcf3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e6ab8e-cbd2-4a96-93f4-452498ebce4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42c2357-5418-49b8-991f-f5c8b07a19d6}" ma:internalName="TaxCatchAll" ma:showField="CatchAllData" ma:web="85e6ab8e-cbd2-4a96-93f4-452498ebce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documentManagement>
    <lcf76f155ced4ddcb4097134ff3c332f xmlns="76c91d98-7809-481a-a1ac-bd62ec4f59fb">
      <Terms xmlns="http://schemas.microsoft.com/office/infopath/2007/PartnerControls"/>
    </lcf76f155ced4ddcb4097134ff3c332f>
    <TaxCatchAll xmlns="85e6ab8e-cbd2-4a96-93f4-452498ebce46" xsi:nil="true"/>
  </documentManagement>
</p:properties>
</file>

<file path=customXml/item5.xml>��
</file>

<file path=customXml/itemProps1.xml><?xml version="1.0" encoding="utf-8"?>
<ds:datastoreItem xmlns:ds="http://schemas.openxmlformats.org/officeDocument/2006/customXml" ds:itemID="{B4112CC5-FCB3-4A58-826C-78A8A30C528C}">
  <ds:schemaRefs>
    <ds:schemaRef ds:uri="http://schemas.microsoft.com/sharepoint/v3/contenttype/forms"/>
  </ds:schemaRefs>
</ds:datastoreItem>
</file>

<file path=customXml/itemProps2.xml><?xml version="1.0" encoding="utf-8"?>
<ds:datastoreItem xmlns:ds="http://schemas.openxmlformats.org/officeDocument/2006/customXml" ds:itemID="{DE3B3E3C-10B7-4566-A4AA-0DA3EB0F6013}"/>
</file>

<file path=customXml/itemProps3.xml><?xml version="1.0" encoding="utf-8"?>
<ds:datastoreItem xmlns:ds="http://schemas.openxmlformats.org/officeDocument/2006/customXml" ds:itemID="{10E35B61-8C00-4D6B-9E52-BA1F1D2A055B}">
  <ds:schemaRefs>
    <ds:schemaRef ds:uri="http://gemini/workbookcustomization/LinkedTables"/>
  </ds:schemaRefs>
</ds:datastoreItem>
</file>

<file path=customXml/itemProps4.xml><?xml version="1.0" encoding="utf-8"?>
<ds:datastoreItem xmlns:ds="http://schemas.openxmlformats.org/officeDocument/2006/customXml" ds:itemID="{9CDA7676-C52F-4468-BA52-BCDCCDB28FF7}">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 ds:uri="76c91d98-7809-481a-a1ac-bd62ec4f59fb"/>
    <ds:schemaRef ds:uri="85e6ab8e-cbd2-4a96-93f4-452498ebce46"/>
  </ds:schemaRefs>
</ds:datastoreItem>
</file>

<file path=customXml/itemProps5.xml><?xml version="1.0" encoding="utf-8"?>
<ds:datastoreItem xmlns:ds="http://schemas.openxmlformats.org/officeDocument/2006/customXml" ds:itemID="{E0A5AAAC-E818-4B06-9D32-20DEEF34E9D6}">
  <ds:schemaRefs>
    <ds:schemaRef ds:uri="http://gemini/workbookcustomization/MetadataRecoveryInform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vt:lpstr>
      <vt:lpstr>Formato Condicional2_Solved</vt:lpstr>
      <vt:lpstr>Date &amp; Time</vt:lpstr>
      <vt:lpstr>Date&amp;Time_RAW</vt:lpstr>
      <vt:lpstr>Date&amp;Time_SOLVED</vt:lpstr>
      <vt:lpstr>what if</vt:lpstr>
      <vt:lpstr>What if2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xavierh@micproductivity.com</dc:creator>
  <cp:lastModifiedBy>Xavier Hernanz</cp:lastModifiedBy>
  <cp:lastPrinted>2017-11-20T09:32:27Z</cp:lastPrinted>
  <dcterms:created xsi:type="dcterms:W3CDTF">2008-09-18T16:34:56Z</dcterms:created>
  <dcterms:modified xsi:type="dcterms:W3CDTF">2022-09-30T15:05:19Z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0x010100124DCB57A783B74096DE66BE87A13E2E</vt:lpwstr>
  </property>
  <property fmtid="{D5CDD505-2E9C-101B-9397-08002B2CF9AE}" pid="3" name="Etiquetas">
    <vt:lpwstr/>
  </property>
  <property fmtid="{D5CDD505-2E9C-101B-9397-08002B2CF9AE}" pid="4" name="MediaServiceImageTags">
    <vt:lpwstr/>
  </property>
</Properties>
</file>