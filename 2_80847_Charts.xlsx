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9.xml" ContentType="application/vnd.openxmlformats-officedocument.spreadsheetml.table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1.xml" ContentType="application/vnd.openxmlformats-officedocument.spreadsheetml.table+xml"/>
  <Override PartName="/xl/drawings/drawing8.xml" ContentType="application/vnd.openxmlformats-officedocument.drawing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iconline.sharepoint.com/sites/2209EADAConsumerApps/Documentos compartidos/General/Materiales/MIC MATERIAL/EXCEL/Session2/"/>
    </mc:Choice>
  </mc:AlternateContent>
  <xr:revisionPtr revIDLastSave="21" documentId="13_ncr:1_{8FCD562F-4FC7-4F1D-8D1B-1498DE14DFB3}" xr6:coauthVersionLast="47" xr6:coauthVersionMax="47" xr10:uidLastSave="{7251A049-31E6-47F9-A845-94B2CF8C8F88}"/>
  <bookViews>
    <workbookView xWindow="-110" yWindow="-110" windowWidth="19420" windowHeight="10560" tabRatio="918" firstSheet="2" activeTab="13" xr2:uid="{00000000-000D-0000-FFFF-FFFF00000000}"/>
  </bookViews>
  <sheets>
    <sheet name="Content" sheetId="9" r:id="rId1"/>
    <sheet name="A glance" sheetId="19" r:id="rId2"/>
    <sheet name="Scatter" sheetId="12" r:id="rId3"/>
    <sheet name="Scatter_SOLVED" sheetId="11" r:id="rId4"/>
    <sheet name="Lines" sheetId="14" r:id="rId5"/>
    <sheet name="Lines_SOLVED" sheetId="6" r:id="rId6"/>
    <sheet name="Columns" sheetId="15" r:id="rId7"/>
    <sheet name="Columns_SOLVED" sheetId="4" r:id="rId8"/>
    <sheet name="Bar" sheetId="16" r:id="rId9"/>
    <sheet name="Bar_SOLVED" sheetId="2" r:id="rId10"/>
    <sheet name="Pie" sheetId="17" r:id="rId11"/>
    <sheet name="Pie_SOLVED" sheetId="8" r:id="rId12"/>
    <sheet name="Double Axis" sheetId="18" r:id="rId13"/>
    <sheet name="Double Axis_SOLVED" sheetId="10" r:id="rId14"/>
  </sheets>
  <externalReferences>
    <externalReference r:id="rId15"/>
  </externalReferences>
  <definedNames>
    <definedName name="_xlchart.v1.0" hidden="1">'Double Axis'!$C$17:$C$28</definedName>
    <definedName name="_xlchart.v1.1" hidden="1">'Double Axis'!$D$16</definedName>
    <definedName name="_xlchart.v1.2" hidden="1">'Double Axis'!$D$17:$D$28</definedName>
    <definedName name="_xlchart.v1.3" hidden="1">'Double Axis'!$E$16</definedName>
    <definedName name="_xlchart.v1.4" hidden="1">'Double Axis'!$E$17:$E$28</definedName>
    <definedName name="_xlchart.v1.5" hidden="1">'Double Axis'!$C$17:$C$28</definedName>
    <definedName name="_xlchart.v1.6" hidden="1">'Double Axis'!$D$16</definedName>
    <definedName name="_xlchart.v1.7" hidden="1">'Double Axis'!$D$17:$D$28</definedName>
    <definedName name="_xlchart.v1.8" hidden="1">'Double Axis'!$E$16</definedName>
    <definedName name="_xlchart.v1.9" hidden="1">'Double Axis'!$E$17:$E$28</definedName>
    <definedName name="angolo_gradi">60</definedName>
    <definedName name="arr_01" localSheetId="8">ROW(OFFSET(#REF!,,,SUM(Bar!relative_v)*2))-1</definedName>
    <definedName name="arr_01" localSheetId="6">ROW(OFFSET(#REF!,,,SUM(Columns!relative_v)*2))-1</definedName>
    <definedName name="arr_01" localSheetId="12">ROW(OFFSET(#REF!,,,SUM('Double Axis'!relative_v)*2))-1</definedName>
    <definedName name="arr_01" localSheetId="4">ROW(OFFSET(#REF!,,,SUM(Lines!relative_v)*2))-1</definedName>
    <definedName name="arr_01" localSheetId="10">ROW(OFFSET(#REF!,,,SUM(Pie!relative_v)*2))-1</definedName>
    <definedName name="arr_01" localSheetId="2">ROW(OFFSET(#REF!,,,SUM(Scatter!relative_v)*2))-1</definedName>
    <definedName name="arr_01">ROW(OFFSET(#REF!,,,SUM(relative_v)*2))-1</definedName>
    <definedName name="arr_cos" localSheetId="8">COS(RADIANS(Bar!arr_rnd))</definedName>
    <definedName name="arr_cos" localSheetId="6">COS(RADIANS(Columns!arr_rnd))</definedName>
    <definedName name="arr_cos" localSheetId="12">COS(RADIANS('Double Axis'!arr_rnd))</definedName>
    <definedName name="arr_cos" localSheetId="4">COS(RADIANS(Lines!arr_rnd))</definedName>
    <definedName name="arr_cos" localSheetId="10">COS(RADIANS(Pie!arr_rnd))</definedName>
    <definedName name="arr_cos" localSheetId="2">COS(RADIANS(Scatter!arr_rnd))</definedName>
    <definedName name="arr_cos">COS(RADIANS(arr_rnd))</definedName>
    <definedName name="arr_n" localSheetId="8">ROW(#REF!:INDEX(#REF!,[0]!tot_points))</definedName>
    <definedName name="arr_n" localSheetId="6">ROW(#REF!:INDEX(#REF!,[0]!tot_points))</definedName>
    <definedName name="arr_n" localSheetId="12">ROW(#REF!:INDEX(#REF!,[0]!tot_points))</definedName>
    <definedName name="arr_n" localSheetId="4">ROW(#REF!:INDEX(#REF!,[0]!tot_points))</definedName>
    <definedName name="arr_n" localSheetId="10">ROW(#REF!:INDEX(#REF!,[0]!tot_points))</definedName>
    <definedName name="arr_n" localSheetId="2">ROW(#REF!:INDEX(#REF!,[0]!tot_points))</definedName>
    <definedName name="arr_n">ROW(#REF!:INDEX(#REF!,tot_points))</definedName>
    <definedName name="arr_prog" localSheetId="8">MMULT(--(ROW(Bar!rng_v)&gt;TRANSPOSE(ROW(Bar!rng_v))),Bar!relative_v)</definedName>
    <definedName name="arr_prog" localSheetId="6">MMULT(--(ROW(Columns!rng_v)&gt;TRANSPOSE(ROW(Columns!rng_v))),Columns!relative_v)</definedName>
    <definedName name="arr_prog" localSheetId="12">MMULT(--(ROW('Double Axis'!rng_v)&gt;TRANSPOSE(ROW('Double Axis'!rng_v))),'Double Axis'!relative_v)</definedName>
    <definedName name="arr_prog" localSheetId="4">MMULT(--(ROW(Lines!rng_v)&gt;TRANSPOSE(ROW(Lines!rng_v))),Lines!relative_v)</definedName>
    <definedName name="arr_prog" localSheetId="10">MMULT(--(ROW(Pie!rng_v)&gt;TRANSPOSE(ROW(Pie!rng_v))),Pie!relative_v)</definedName>
    <definedName name="arr_prog" localSheetId="2">MMULT(--(ROW(Scatter!rng_v)&gt;TRANSPOSE(ROW(Scatter!rng_v))),Scatter!relative_v)</definedName>
    <definedName name="arr_prog">MMULT(--(ROW(rng_v)&gt;TRANSPOSE(ROW(rng_v))),relative_v)</definedName>
    <definedName name="arr_rag" localSheetId="8">MMULT(--(MATCH(Bar!arr_n,MMULT(--(ROW(Bar!rng_01)&gt;TRANSPOSE(ROW(Bar!rng_01))),Bar!punti),1)=TRANSPOSE(ROW(Bar!rng_01))-CELL("row",Bar!rng_01)+1),Bar!raggi)</definedName>
    <definedName name="arr_rag" localSheetId="6">MMULT(--(MATCH(Columns!arr_n,MMULT(--(ROW(Columns!rng_01)&gt;TRANSPOSE(ROW(Columns!rng_01))),Columns!punti),1)=TRANSPOSE(ROW(Columns!rng_01))-CELL("row",Columns!rng_01)+1),Columns!raggi)</definedName>
    <definedName name="arr_rag" localSheetId="12">MMULT(--(MATCH('Double Axis'!arr_n,MMULT(--(ROW('Double Axis'!rng_01)&gt;TRANSPOSE(ROW('Double Axis'!rng_01))),'Double Axis'!punti),1)=TRANSPOSE(ROW('Double Axis'!rng_01))-CELL("row",'Double Axis'!rng_01)+1),'Double Axis'!raggi)</definedName>
    <definedName name="arr_rag" localSheetId="4">MMULT(--(MATCH(Lines!arr_n,MMULT(--(ROW(Lines!rng_01)&gt;TRANSPOSE(ROW(Lines!rng_01))),Lines!punti),1)=TRANSPOSE(ROW(Lines!rng_01))-CELL("row",Lines!rng_01)+1),Lines!raggi)</definedName>
    <definedName name="arr_rag" localSheetId="10">MMULT(--(MATCH(Pie!arr_n,MMULT(--(ROW(Pie!rng_01)&gt;TRANSPOSE(ROW(Pie!rng_01))),Pie!punti),1)=TRANSPOSE(ROW(Pie!rng_01))-CELL("row",Pie!rng_01)+1),Pie!raggi)</definedName>
    <definedName name="arr_rag" localSheetId="2">MMULT(--(MATCH(Scatter!arr_n,MMULT(--(ROW(Scatter!rng_01)&gt;TRANSPOSE(ROW(Scatter!rng_01))),Scatter!punti),1)=TRANSPOSE(ROW(Scatter!rng_01))-CELL("row",Scatter!rng_01)+1),Scatter!raggi)</definedName>
    <definedName name="arr_rag">MMULT(--(MATCH(arr_n,MMULT(--(ROW(rng_01)&gt;TRANSPOSE(ROW(rng_01))),punti),1)=TRANSPOSE(ROW(rng_01))-CELL("row",rng_01)+1),raggi)</definedName>
    <definedName name="arr_rnd" localSheetId="8">RANDBETWEEN(Bar!arr_n^0,Bar!arr_n^0*360)</definedName>
    <definedName name="arr_rnd" localSheetId="6">RANDBETWEEN(Columns!arr_n^0,Columns!arr_n^0*360)</definedName>
    <definedName name="arr_rnd" localSheetId="12">RANDBETWEEN('Double Axis'!arr_n^0,'Double Axis'!arr_n^0*360)</definedName>
    <definedName name="arr_rnd" localSheetId="4">RANDBETWEEN(Lines!arr_n^0,Lines!arr_n^0*360)</definedName>
    <definedName name="arr_rnd" localSheetId="10">RANDBETWEEN(Pie!arr_n^0,Pie!arr_n^0*360)</definedName>
    <definedName name="arr_rnd" localSheetId="2">RANDBETWEEN(Scatter!arr_n^0,Scatter!arr_n^0*360)</definedName>
    <definedName name="arr_rnd">RANDBETWEEN(arr_n^0,arr_n^0*360)</definedName>
    <definedName name="arr_sin" localSheetId="8">SIN(RADIANS(Bar!arr_rnd))</definedName>
    <definedName name="arr_sin" localSheetId="6">SIN(RADIANS(Columns!arr_rnd))</definedName>
    <definedName name="arr_sin" localSheetId="12">SIN(RADIANS('Double Axis'!arr_rnd))</definedName>
    <definedName name="arr_sin" localSheetId="4">SIN(RADIANS(Lines!arr_rnd))</definedName>
    <definedName name="arr_sin" localSheetId="10">SIN(RADIANS(Pie!arr_rnd))</definedName>
    <definedName name="arr_sin" localSheetId="2">SIN(RADIANS(Scatter!arr_rnd))</definedName>
    <definedName name="arr_sin">SIN(RADIANS(arr_rnd))</definedName>
    <definedName name="arr_sp" localSheetId="8">MMULT(--(MATCH(Bar!arr_n,MMULT(--(ROW(Bar!rng_01)&gt;TRANSPOSE(ROW(Bar!rng_01))),Bar!punti),1)=TRANSPOSE(ROW(Bar!rng_01))-CELL("row",Bar!rng_01)+1),ROW(Bar!rng_01)-CELL("row",Bar!rng_01))</definedName>
    <definedName name="arr_sp" localSheetId="6">MMULT(--(MATCH(Columns!arr_n,MMULT(--(ROW(Columns!rng_01)&gt;TRANSPOSE(ROW(Columns!rng_01))),Columns!punti),1)=TRANSPOSE(ROW(Columns!rng_01))-CELL("row",Columns!rng_01)+1),ROW(Columns!rng_01)-CELL("row",Columns!rng_01))</definedName>
    <definedName name="arr_sp" localSheetId="12">MMULT(--(MATCH('Double Axis'!arr_n,MMULT(--(ROW('Double Axis'!rng_01)&gt;TRANSPOSE(ROW('Double Axis'!rng_01))),'Double Axis'!punti),1)=TRANSPOSE(ROW('Double Axis'!rng_01))-CELL("row",'Double Axis'!rng_01)+1),ROW('Double Axis'!rng_01)-CELL("row",'Double Axis'!rng_01))</definedName>
    <definedName name="arr_sp" localSheetId="4">MMULT(--(MATCH(Lines!arr_n,MMULT(--(ROW(Lines!rng_01)&gt;TRANSPOSE(ROW(Lines!rng_01))),Lines!punti),1)=TRANSPOSE(ROW(Lines!rng_01))-CELL("row",Lines!rng_01)+1),ROW(Lines!rng_01)-CELL("row",Lines!rng_01))</definedName>
    <definedName name="arr_sp" localSheetId="10">MMULT(--(MATCH(Pie!arr_n,MMULT(--(ROW(Pie!rng_01)&gt;TRANSPOSE(ROW(Pie!rng_01))),Pie!punti),1)=TRANSPOSE(ROW(Pie!rng_01))-CELL("row",Pie!rng_01)+1),ROW(Pie!rng_01)-CELL("row",Pie!rng_01))</definedName>
    <definedName name="arr_sp" localSheetId="2">MMULT(--(MATCH(Scatter!arr_n,MMULT(--(ROW(Scatter!rng_01)&gt;TRANSPOSE(ROW(Scatter!rng_01))),Scatter!punti),1)=TRANSPOSE(ROW(Scatter!rng_01))-CELL("row",Scatter!rng_01)+1),ROW(Scatter!rng_01)-CELL("row",Scatter!rng_01))</definedName>
    <definedName name="arr_sp">MMULT(--(MATCH(arr_n,MMULT(--(ROW(rng_01)&gt;TRANSPOSE(ROW(rng_01))),punti),1)=TRANSPOSE(ROW(rng_01))-CELL("row",rng_01)+1),ROW(rng_01)-CELL("row",rng_01))</definedName>
    <definedName name="arr_sq" localSheetId="8">(MATCH(Bar!arr_01,Bar!arr_prog*2,1)=COLUMN(OFFSET(#REF!,,,,ROWS(Bar!rng_v))))*(IF(Bar!arr_01-TRANSPOSE(Bar!arr_prog*2)+1&gt;TRANSPOSE(Bar!relative_v),TRANSPOSE(Bar!relative_v)*2-Bar!arr_01+TRANSPOSE(Bar!arr_prog*2),Bar!arr_01-TRANSPOSE(Bar!arr_prog*2)+1))</definedName>
    <definedName name="arr_sq" localSheetId="6">(MATCH(Columns!arr_01,Columns!arr_prog*2,1)=COLUMN(OFFSET(#REF!,,,,ROWS(Columns!rng_v))))*(IF(Columns!arr_01-TRANSPOSE(Columns!arr_prog*2)+1&gt;TRANSPOSE(Columns!relative_v),TRANSPOSE(Columns!relative_v)*2-Columns!arr_01+TRANSPOSE(Columns!arr_prog*2),Columns!arr_01-TRANSPOSE(Columns!arr_prog*2)+1))</definedName>
    <definedName name="arr_sq" localSheetId="12">(MATCH('Double Axis'!arr_01,'Double Axis'!arr_prog*2,1)=COLUMN(OFFSET(#REF!,,,,ROWS('Double Axis'!rng_v))))*(IF('Double Axis'!arr_01-TRANSPOSE('Double Axis'!arr_prog*2)+1&gt;TRANSPOSE('Double Axis'!relative_v),TRANSPOSE('Double Axis'!relative_v)*2-'Double Axis'!arr_01+TRANSPOSE('Double Axis'!arr_prog*2),'Double Axis'!arr_01-TRANSPOSE('Double Axis'!arr_prog*2)+1))</definedName>
    <definedName name="arr_sq" localSheetId="4">(MATCH(Lines!arr_01,Lines!arr_prog*2,1)=COLUMN(OFFSET(#REF!,,,,ROWS(Lines!rng_v))))*(IF(Lines!arr_01-TRANSPOSE(Lines!arr_prog*2)+1&gt;TRANSPOSE(Lines!relative_v),TRANSPOSE(Lines!relative_v)*2-Lines!arr_01+TRANSPOSE(Lines!arr_prog*2),Lines!arr_01-TRANSPOSE(Lines!arr_prog*2)+1))</definedName>
    <definedName name="arr_sq" localSheetId="10">(MATCH(Pie!arr_01,Pie!arr_prog*2,1)=COLUMN(OFFSET(#REF!,,,,ROWS(Pie!rng_v))))*(IF(Pie!arr_01-TRANSPOSE(Pie!arr_prog*2)+1&gt;TRANSPOSE(Pie!relative_v),TRANSPOSE(Pie!relative_v)*2-Pie!arr_01+TRANSPOSE(Pie!arr_prog*2),Pie!arr_01-TRANSPOSE(Pie!arr_prog*2)+1))</definedName>
    <definedName name="arr_sq" localSheetId="2">(MATCH(Scatter!arr_01,Scatter!arr_prog*2,1)=COLUMN(OFFSET(#REF!,,,,ROWS(Scatter!rng_v))))*(IF(Scatter!arr_01-TRANSPOSE(Scatter!arr_prog*2)+1&gt;TRANSPOSE(Scatter!relative_v),TRANSPOSE(Scatter!relative_v)*2-Scatter!arr_01+TRANSPOSE(Scatter!arr_prog*2),Scatter!arr_01-TRANSPOSE(Scatter!arr_prog*2)+1))</definedName>
    <definedName name="arr_sq">(MATCH(arr_01,arr_prog*2,1)=COLUMN(OFFSET(#REF!,,,,ROWS(rng_v))))*(IF(arr_01-TRANSPOSE(arr_prog*2)+1&gt;TRANSPOSE(relative_v),TRANSPOSE(relative_v)*2-arr_01+TRANSPOSE(arr_prog*2),arr_01-TRANSPOSE(arr_prog*2)+1))</definedName>
    <definedName name="City1">'[1]Graficos Interactivos 2'!$J$13</definedName>
    <definedName name="City2">'[1]Graficos Interactivos 2'!$J$15</definedName>
    <definedName name="DataTable">'[1]Graficos Interactivos 2'!$O$6</definedName>
    <definedName name="label_x" localSheetId="8">ROW(Bar!rng_01)-CELL("row",Bar!rng_01)</definedName>
    <definedName name="label_x" localSheetId="6">ROW(Columns!rng_01)-CELL("row",Columns!rng_01)</definedName>
    <definedName name="label_x" localSheetId="12">ROW('Double Axis'!rng_01)-CELL("row",'Double Axis'!rng_01)</definedName>
    <definedName name="label_x" localSheetId="4">ROW(Lines!rng_01)-CELL("row",Lines!rng_01)</definedName>
    <definedName name="label_x" localSheetId="10">ROW(Pie!rng_01)-CELL("row",Pie!rng_01)</definedName>
    <definedName name="label_x" localSheetId="2">ROW(Scatter!rng_01)-CELL("row",Scatter!rng_01)</definedName>
    <definedName name="label_x">ROW(rng_01)-CELL("row",rng_01)</definedName>
    <definedName name="label_y" localSheetId="8">Bar!label_x*0+0.5</definedName>
    <definedName name="label_y" localSheetId="6">Columns!label_x*0+0.5</definedName>
    <definedName name="label_y" localSheetId="12">'Double Axis'!label_x*0+0.5</definedName>
    <definedName name="label_y" localSheetId="4">Lines!label_x*0+0.5</definedName>
    <definedName name="label_y" localSheetId="10">Pie!label_x*0+0.5</definedName>
    <definedName name="label_y" localSheetId="2">Scatter!label_x*0+0.5</definedName>
    <definedName name="label_y">label_x*0+0.5</definedName>
    <definedName name="ListaCiudades">'[1]Graficos Interactivos 2 Data'!$A$8:$A$291</definedName>
    <definedName name="n">100</definedName>
    <definedName name="nx">20</definedName>
    <definedName name="punti" localSheetId="8">INT(Bar!rng_02/SUM(Bar!rng_02)*[0]!tot_points)</definedName>
    <definedName name="punti" localSheetId="6">INT(Columns!rng_02/SUM(Columns!rng_02)*[0]!tot_points)</definedName>
    <definedName name="punti" localSheetId="12">INT('Double Axis'!rng_02/SUM('Double Axis'!rng_02)*[0]!tot_points)</definedName>
    <definedName name="punti" localSheetId="4">INT(Lines!rng_02/SUM(Lines!rng_02)*[0]!tot_points)</definedName>
    <definedName name="punti" localSheetId="10">INT(Pie!rng_02/SUM(Pie!rng_02)*[0]!tot_points)</definedName>
    <definedName name="punti" localSheetId="2">INT(Scatter!rng_02/SUM(Scatter!rng_02)*[0]!tot_points)</definedName>
    <definedName name="punti">INT(rng_02/SUM(rng_02)*tot_points)</definedName>
    <definedName name="r_">0</definedName>
    <definedName name="raggi" localSheetId="8">(Bar!rng_01/SUM(Bar!rng_01)/PI())^0.5</definedName>
    <definedName name="raggi" localSheetId="6">(Columns!rng_01/SUM(Columns!rng_01)/PI())^0.5</definedName>
    <definedName name="raggi" localSheetId="12">('Double Axis'!rng_01/SUM('Double Axis'!rng_01)/PI())^0.5</definedName>
    <definedName name="raggi" localSheetId="4">(Lines!rng_01/SUM(Lines!rng_01)/PI())^0.5</definedName>
    <definedName name="raggi" localSheetId="10">(Pie!rng_01/SUM(Pie!rng_01)/PI())^0.5</definedName>
    <definedName name="raggi" localSheetId="2">(Scatter!rng_01/SUM(Scatter!rng_01)/PI())^0.5</definedName>
    <definedName name="raggi">(rng_01/SUM(rng_01)/PI())^0.5</definedName>
    <definedName name="relative_v" localSheetId="8">CEILING(Bar!rng_v*Bar!punti/SUM(Bar!rng_v),1)</definedName>
    <definedName name="relative_v" localSheetId="6">CEILING(Columns!rng_v*Columns!punti/SUM(Columns!rng_v),1)</definedName>
    <definedName name="relative_v" localSheetId="12">CEILING('Double Axis'!rng_v*'Double Axis'!punti/SUM('Double Axis'!rng_v),1)</definedName>
    <definedName name="relative_v" localSheetId="4">CEILING(Lines!rng_v*Lines!punti/SUM(Lines!rng_v),1)</definedName>
    <definedName name="relative_v" localSheetId="10">CEILING(Pie!rng_v*Pie!punti/SUM(Pie!rng_v),1)</definedName>
    <definedName name="relative_v" localSheetId="2">CEILING(Scatter!rng_v*Scatter!punti/SUM(Scatter!rng_v),1)</definedName>
    <definedName name="relative_v">CEILING(rng_v*[0]!punti/SUM(rng_v),1)</definedName>
    <definedName name="rng" localSheetId="8">OFFSET(#REF!,,,COUNTA(#REF!),2)</definedName>
    <definedName name="rng" localSheetId="6">OFFSET(#REF!,,,COUNTA(#REF!),2)</definedName>
    <definedName name="rng" localSheetId="12">OFFSET(#REF!,,,COUNTA(#REF!),2)</definedName>
    <definedName name="rng" localSheetId="4">OFFSET(#REF!,,,COUNTA(#REF!),2)</definedName>
    <definedName name="rng" localSheetId="10">OFFSET(#REF!,,,COUNTA(#REF!),2)</definedName>
    <definedName name="rng" localSheetId="2">OFFSET(#REF!,,,COUNTA(#REF!),2)</definedName>
    <definedName name="rng">OFFSET(#REF!,,,COUNTA(#REF!),2)</definedName>
    <definedName name="rng_01" localSheetId="8">#REF!:INDEX(#REF!,COUNTA(#REF!))</definedName>
    <definedName name="rng_01" localSheetId="6">#REF!:INDEX(#REF!,COUNTA(#REF!))</definedName>
    <definedName name="rng_01" localSheetId="12">#REF!:INDEX(#REF!,COUNTA(#REF!))</definedName>
    <definedName name="rng_01" localSheetId="4">#REF!:INDEX(#REF!,COUNTA(#REF!))</definedName>
    <definedName name="rng_01" localSheetId="10">#REF!:INDEX(#REF!,COUNTA(#REF!))</definedName>
    <definedName name="rng_01" localSheetId="2">#REF!:INDEX(#REF!,COUNTA(#REF!))</definedName>
    <definedName name="rng_01">#REF!:INDEX(#REF!,COUNTA(#REF!))</definedName>
    <definedName name="rng_02" localSheetId="8">OFFSET(Bar!rng_01,,1)</definedName>
    <definedName name="rng_02" localSheetId="6">OFFSET(Columns!rng_01,,1)</definedName>
    <definedName name="rng_02" localSheetId="12">OFFSET('Double Axis'!rng_01,,1)</definedName>
    <definedName name="rng_02" localSheetId="4">OFFSET(Lines!rng_01,,1)</definedName>
    <definedName name="rng_02" localSheetId="10">OFFSET(Pie!rng_01,,1)</definedName>
    <definedName name="rng_02" localSheetId="2">OFFSET(Scatter!rng_01,,1)</definedName>
    <definedName name="rng_02">OFFSET(rng_01,,1)</definedName>
    <definedName name="rng_v" localSheetId="8">INDEX(Bar!rng,,2)</definedName>
    <definedName name="rng_v" localSheetId="6">INDEX(Columns!rng,,2)</definedName>
    <definedName name="rng_v" localSheetId="12">INDEX('Double Axis'!rng,,2)</definedName>
    <definedName name="rng_v" localSheetId="4">INDEX(Lines!rng,,2)</definedName>
    <definedName name="rng_v" localSheetId="10">INDEX(Pie!rng,,2)</definedName>
    <definedName name="rng_v" localSheetId="2">INDEX(Scatter!rng,,2)</definedName>
    <definedName name="rng_v">INDEX(rng,,2)</definedName>
    <definedName name="sen_add" localSheetId="8">#REF!</definedName>
    <definedName name="sen_add" localSheetId="6">#REF!</definedName>
    <definedName name="sen_add" localSheetId="12">#REF!</definedName>
    <definedName name="sen_add" localSheetId="4">#REF!</definedName>
    <definedName name="sen_add" localSheetId="10">#REF!</definedName>
    <definedName name="sen_add" localSheetId="2">#REF!</definedName>
    <definedName name="sen_add">#REF!</definedName>
    <definedName name="tot_points">720</definedName>
    <definedName name="x" localSheetId="8">Bar!arr_sin*Bar!arr_rag+Bar!arr_sp</definedName>
    <definedName name="x" localSheetId="6">Columns!arr_sin*Columns!arr_rag+Columns!arr_sp</definedName>
    <definedName name="x" localSheetId="12">'Double Axis'!arr_sin*'Double Axis'!arr_rag+'Double Axis'!arr_sp</definedName>
    <definedName name="x" localSheetId="4">Lines!arr_sin*Lines!arr_rag+Lines!arr_sp</definedName>
    <definedName name="x" localSheetId="10">Pie!arr_sin*Pie!arr_rag+Pie!arr_sp</definedName>
    <definedName name="x" localSheetId="2">Scatter!arr_sin*Scatter!arr_rag+Scatter!arr_sp</definedName>
    <definedName name="x">arr_sin*arr_rag+arr_sp</definedName>
    <definedName name="x_asse" localSheetId="8">-(ROW(Bar!rng_v)-MIN(ROW(Bar!rng_v))+100)</definedName>
    <definedName name="x_asse" localSheetId="6">-(ROW(Columns!rng_v)-MIN(ROW(Columns!rng_v))+100)</definedName>
    <definedName name="x_asse" localSheetId="12">-(ROW('Double Axis'!rng_v)-MIN(ROW('Double Axis'!rng_v))+100)</definedName>
    <definedName name="x_asse" localSheetId="4">-(ROW(Lines!rng_v)-MIN(ROW(Lines!rng_v))+100)</definedName>
    <definedName name="x_asse" localSheetId="10">-(ROW(Pie!rng_v)-MIN(ROW(Pie!rng_v))+100)</definedName>
    <definedName name="x_asse" localSheetId="2">-(ROW(Scatter!rng_v)-MIN(ROW(Scatter!rng_v))+100)</definedName>
    <definedName name="x_asse">-(ROW(rng_v)-MIN(ROW(rng_v))+100)</definedName>
    <definedName name="x_label" localSheetId="8">SIN(RADIANS(Bar!relative_v*[0]!angolo_gradi/Bar!punti+269))*(ROW(Bar!rng_v)-MIN(ROW(Bar!rng_v))+100)</definedName>
    <definedName name="x_label" localSheetId="6">SIN(RADIANS(Columns!relative_v*[0]!angolo_gradi/Columns!punti+269))*(ROW(Columns!rng_v)-MIN(ROW(Columns!rng_v))+100)</definedName>
    <definedName name="x_label" localSheetId="12">SIN(RADIANS('Double Axis'!relative_v*[0]!angolo_gradi/'Double Axis'!punti+269))*(ROW('Double Axis'!rng_v)-MIN(ROW('Double Axis'!rng_v))+100)</definedName>
    <definedName name="x_label" localSheetId="4">SIN(RADIANS(Lines!relative_v*[0]!angolo_gradi/Lines!punti+269))*(ROW(Lines!rng_v)-MIN(ROW(Lines!rng_v))+100)</definedName>
    <definedName name="x_label" localSheetId="10">SIN(RADIANS(Pie!relative_v*[0]!angolo_gradi/Pie!punti+269))*(ROW(Pie!rng_v)-MIN(ROW(Pie!rng_v))+100)</definedName>
    <definedName name="x_label" localSheetId="2">SIN(RADIANS(Scatter!relative_v*[0]!angolo_gradi/Scatter!punti+269))*(ROW(Scatter!rng_v)-MIN(ROW(Scatter!rng_v))+100)</definedName>
    <definedName name="x_label">SIN(RADIANS(relative_v*angolo_gradi/[0]!punti+269))*(ROW(rng_v)-MIN(ROW(rng_v))+100)</definedName>
    <definedName name="y" localSheetId="8">Bar!arr_cos*Bar!arr_rag</definedName>
    <definedName name="y" localSheetId="6">Columns!arr_cos*Columns!arr_rag</definedName>
    <definedName name="y" localSheetId="12">'Double Axis'!arr_cos*'Double Axis'!arr_rag</definedName>
    <definedName name="y" localSheetId="4">Lines!arr_cos*Lines!arr_rag</definedName>
    <definedName name="y" localSheetId="10">Pie!arr_cos*Pie!arr_rag</definedName>
    <definedName name="y" localSheetId="2">Scatter!arr_cos*Scatter!arr_rag</definedName>
    <definedName name="y">arr_cos*arr_rag</definedName>
    <definedName name="y_asse" localSheetId="8">Bar!rng_v*0</definedName>
    <definedName name="y_asse" localSheetId="6">Columns!rng_v*0</definedName>
    <definedName name="y_asse" localSheetId="12">'Double Axis'!rng_v*0</definedName>
    <definedName name="y_asse" localSheetId="4">Lines!rng_v*0</definedName>
    <definedName name="y_asse" localSheetId="10">Pie!rng_v*0</definedName>
    <definedName name="y_asse" localSheetId="2">Scatter!rng_v*0</definedName>
    <definedName name="y_asse">rng_v*0</definedName>
    <definedName name="y_label" localSheetId="8">COS(RADIANS(Bar!relative_v*[0]!angolo_gradi/Bar!punti+269))*(ROW(Bar!rng_v)-MIN(ROW(Bar!rng_v))+100)</definedName>
    <definedName name="y_label" localSheetId="6">COS(RADIANS(Columns!relative_v*[0]!angolo_gradi/Columns!punti+269))*(ROW(Columns!rng_v)-MIN(ROW(Columns!rng_v))+100)</definedName>
    <definedName name="y_label" localSheetId="12">COS(RADIANS('Double Axis'!relative_v*[0]!angolo_gradi/'Double Axis'!punti+269))*(ROW('Double Axis'!rng_v)-MIN(ROW('Double Axis'!rng_v))+100)</definedName>
    <definedName name="y_label" localSheetId="4">COS(RADIANS(Lines!relative_v*[0]!angolo_gradi/Lines!punti+269))*(ROW(Lines!rng_v)-MIN(ROW(Lines!rng_v))+100)</definedName>
    <definedName name="y_label" localSheetId="10">COS(RADIANS(Pie!relative_v*[0]!angolo_gradi/Pie!punti+269))*(ROW(Pie!rng_v)-MIN(ROW(Pie!rng_v))+100)</definedName>
    <definedName name="y_label" localSheetId="2">COS(RADIANS(Scatter!relative_v*[0]!angolo_gradi/Scatter!punti+269))*(ROW(Scatter!rng_v)-MIN(ROW(Scatter!rng_v))+100)</definedName>
    <definedName name="y_label">COS(RADIANS(relative_v*angolo_gradi/[0]!punti+269))*(ROW(rng_v)-MIN(ROW(rng_v))+100)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12" l="1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8" i="11"/>
  <c r="D19" i="11"/>
  <c r="D20" i="11"/>
  <c r="D21" i="11"/>
  <c r="D22" i="11"/>
  <c r="D23" i="11"/>
  <c r="D24" i="11"/>
  <c r="D25" i="11"/>
  <c r="D26" i="11"/>
  <c r="D27" i="11"/>
  <c r="D28" i="11"/>
  <c r="C18" i="11"/>
  <c r="C19" i="11"/>
  <c r="C20" i="11"/>
  <c r="C21" i="11"/>
  <c r="C22" i="11"/>
  <c r="C23" i="11"/>
  <c r="C24" i="11"/>
  <c r="C25" i="11"/>
  <c r="C26" i="11"/>
  <c r="C27" i="11"/>
  <c r="C28" i="11"/>
</calcChain>
</file>

<file path=xl/sharedStrings.xml><?xml version="1.0" encoding="utf-8"?>
<sst xmlns="http://schemas.openxmlformats.org/spreadsheetml/2006/main" count="179" uniqueCount="61">
  <si>
    <t>Product</t>
  </si>
  <si>
    <t>Oranges</t>
  </si>
  <si>
    <t>Bananas</t>
  </si>
  <si>
    <t>Pears</t>
  </si>
  <si>
    <t>Apples</t>
  </si>
  <si>
    <t>Shelf Life</t>
  </si>
  <si>
    <t>Restock Time</t>
  </si>
  <si>
    <t>Jun</t>
  </si>
  <si>
    <t>May</t>
  </si>
  <si>
    <t>Apr</t>
  </si>
  <si>
    <t>Mar</t>
  </si>
  <si>
    <t>Feb</t>
  </si>
  <si>
    <t>Jan</t>
  </si>
  <si>
    <t>Expenses</t>
  </si>
  <si>
    <t>Sales</t>
  </si>
  <si>
    <t>Month</t>
  </si>
  <si>
    <t>Tablets</t>
  </si>
  <si>
    <t>Laptops</t>
  </si>
  <si>
    <t>Desktops</t>
  </si>
  <si>
    <t>West</t>
  </si>
  <si>
    <t>East</t>
  </si>
  <si>
    <t>South</t>
  </si>
  <si>
    <t>North</t>
  </si>
  <si>
    <t>Division</t>
  </si>
  <si>
    <t>Data Visualization</t>
  </si>
  <si>
    <t>January</t>
  </si>
  <si>
    <t>February</t>
  </si>
  <si>
    <t>March</t>
  </si>
  <si>
    <t>June</t>
  </si>
  <si>
    <t>July</t>
  </si>
  <si>
    <t>April</t>
  </si>
  <si>
    <t>August</t>
  </si>
  <si>
    <t>September</t>
  </si>
  <si>
    <t>October</t>
  </si>
  <si>
    <t>November</t>
  </si>
  <si>
    <t>December</t>
  </si>
  <si>
    <t>Quantity</t>
  </si>
  <si>
    <t>Cost</t>
  </si>
  <si>
    <t>Double Axis</t>
  </si>
  <si>
    <t>Bar Graph</t>
  </si>
  <si>
    <t>Line Graph</t>
  </si>
  <si>
    <t>Scattered Graph</t>
  </si>
  <si>
    <t>Column Graph</t>
  </si>
  <si>
    <t>Multiple Series Graph</t>
  </si>
  <si>
    <t xml:space="preserve">X </t>
  </si>
  <si>
    <t>Y</t>
  </si>
  <si>
    <t>Z</t>
  </si>
  <si>
    <t>Exercises</t>
  </si>
  <si>
    <t>Objective</t>
  </si>
  <si>
    <t>Method</t>
  </si>
  <si>
    <r>
      <t xml:space="preserve">Make a </t>
    </r>
    <r>
      <rPr>
        <b/>
        <sz val="12"/>
        <color theme="1"/>
        <rFont val="Consolas"/>
        <family val="3"/>
      </rPr>
      <t>X-Y (Scatter)</t>
    </r>
    <r>
      <rPr>
        <sz val="12"/>
        <color theme="1"/>
        <rFont val="Consolas"/>
        <family val="3"/>
      </rPr>
      <t xml:space="preserve"> chart
   i) Using 'X' column as x-asis and 'Y' column as y-axis
   ii) Add 'Z' column to the chart as a new set of values in y-axis
   iii) Add titles to the chart and axis (try different styles)</t>
    </r>
  </si>
  <si>
    <t xml:space="preserve">. Use Insert\chart menu
. Use the available options in the ribbon
</t>
  </si>
  <si>
    <r>
      <t xml:space="preserve">Make a </t>
    </r>
    <r>
      <rPr>
        <b/>
        <sz val="12"/>
        <color theme="1"/>
        <rFont val="Consolas"/>
        <family val="3"/>
      </rPr>
      <t>Line</t>
    </r>
    <r>
      <rPr>
        <sz val="12"/>
        <color theme="1"/>
        <rFont val="Consolas"/>
        <family val="3"/>
      </rPr>
      <t xml:space="preserve"> chart
   i) Using 'Month' column as x-asis and 'Desktops', 'Laptops' and 'Tablets' column as y-axis
   ii) Add titles to the chart and axis (try different styles)</t>
    </r>
  </si>
  <si>
    <r>
      <t xml:space="preserve">Make a </t>
    </r>
    <r>
      <rPr>
        <b/>
        <sz val="12"/>
        <color theme="1"/>
        <rFont val="Consolas"/>
        <family val="3"/>
      </rPr>
      <t>Column</t>
    </r>
    <r>
      <rPr>
        <sz val="12"/>
        <color theme="1"/>
        <rFont val="Consolas"/>
        <family val="3"/>
      </rPr>
      <t xml:space="preserve"> chart
   i) Using 'Month' column as x-asis and 'Sales', and 'Expenses' column as y-axis
   ii) Add titles to the chart and axis (try different styles)</t>
    </r>
  </si>
  <si>
    <r>
      <t xml:space="preserve">Make a </t>
    </r>
    <r>
      <rPr>
        <b/>
        <sz val="12"/>
        <color theme="1"/>
        <rFont val="Consolas"/>
        <family val="3"/>
      </rPr>
      <t>Bar</t>
    </r>
    <r>
      <rPr>
        <sz val="12"/>
        <color theme="1"/>
        <rFont val="Consolas"/>
        <family val="3"/>
      </rPr>
      <t xml:space="preserve"> chart
   i) Using 'Product' column as x-asis and 'Restock Time', and 'Shelf Life' column as y-axis
   ii) Add titles to the chart and axis (try different styles)</t>
    </r>
  </si>
  <si>
    <r>
      <t xml:space="preserve">Make a </t>
    </r>
    <r>
      <rPr>
        <b/>
        <sz val="12"/>
        <color theme="1"/>
        <rFont val="Consolas"/>
        <family val="3"/>
      </rPr>
      <t>Pie</t>
    </r>
    <r>
      <rPr>
        <sz val="12"/>
        <color theme="1"/>
        <rFont val="Consolas"/>
        <family val="3"/>
      </rPr>
      <t xml:space="preserve"> chart
   i) Using 'Product' column as labels and 'Sales' as values
   ii) Add titles to the chart and axis (try different styles)</t>
    </r>
  </si>
  <si>
    <r>
      <t xml:space="preserve">Make a </t>
    </r>
    <r>
      <rPr>
        <b/>
        <sz val="12"/>
        <color theme="1"/>
        <rFont val="Consolas"/>
        <family val="3"/>
      </rPr>
      <t>Column</t>
    </r>
    <r>
      <rPr>
        <sz val="12"/>
        <color theme="1"/>
        <rFont val="Consolas"/>
        <family val="3"/>
      </rPr>
      <t xml:space="preserve"> chart
   i) Using 'Month' column as x-axis and 'Quantity' and 'Cost' as y-axis
   ii) Observe what happpens</t>
    </r>
  </si>
  <si>
    <t>Pie Graph</t>
  </si>
  <si>
    <r>
      <t xml:space="preserve">Make a </t>
    </r>
    <r>
      <rPr>
        <b/>
        <sz val="12"/>
        <color theme="1"/>
        <rFont val="Consolas"/>
        <family val="3"/>
      </rPr>
      <t>Column</t>
    </r>
    <r>
      <rPr>
        <sz val="12"/>
        <color theme="1"/>
        <rFont val="Consolas"/>
        <family val="3"/>
      </rPr>
      <t xml:space="preserve"> chart. 
   i) Using 'Month' column as x-axis and 'Quantity' and 'Cost' as y-axis
   ii) Observe what happpens. How would you improve it?</t>
    </r>
  </si>
  <si>
    <t>Profit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</si>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</sst>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onsolas"/>
      <family val="3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4"/>
      <color theme="5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onsolas"/>
      <family val="3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</borders>
  <cellStyleXfs count="3">
    <xf numFmtId="0" fontId="0" fillId="0" borderId="0"/>
    <xf numFmtId="0" fontId="8" fillId="0" borderId="0"/>
    <xf numFmtId="9" fontId="1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2" borderId="0" xfId="0" applyFont="1" applyFill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9" fillId="0" borderId="0" xfId="1" applyFont="1" applyAlignment="1">
      <alignment horizontal="right"/>
    </xf>
    <xf numFmtId="0" fontId="10" fillId="0" borderId="0" xfId="0" applyFont="1"/>
    <xf numFmtId="0" fontId="6" fillId="0" borderId="0" xfId="0" applyFont="1"/>
    <xf numFmtId="0" fontId="7" fillId="2" borderId="0" xfId="0" applyFont="1" applyFill="1" applyAlignment="1">
      <alignment horizontal="right" vertical="top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/>
    <xf numFmtId="0" fontId="1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10" fontId="0" fillId="0" borderId="0" xfId="2" applyNumberFormat="1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right" vertical="top"/>
    </xf>
  </cellXfs>
  <cellStyles count="3">
    <cellStyle name="Normal" xfId="0" builtinId="0"/>
    <cellStyle name="Normal 2" xfId="1" xr:uid="{00000000-0005-0000-0000-000001000000}"/>
    <cellStyle name="Per cent" xfId="2" builtinId="5"/>
  </cellStyles>
  <dxfs count="48">
    <dxf>
      <numFmt numFmtId="164" formatCode="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4" formatCode="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4" formatCode="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Contoso S.L.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 glance'!$D$5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 glance'!$C$6:$C$11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 glance'!$D$6:$D$11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A-4F9B-83F5-14E4618CE31D}"/>
            </c:ext>
          </c:extLst>
        </c:ser>
        <c:ser>
          <c:idx val="1"/>
          <c:order val="1"/>
          <c:tx>
            <c:strRef>
              <c:f>'A glance'!$E$5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 glance'!$C$6:$C$11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 glance'!$E$6:$E$11</c:f>
              <c:numCache>
                <c:formatCode>General</c:formatCode>
                <c:ptCount val="6"/>
                <c:pt idx="0">
                  <c:v>6</c:v>
                </c:pt>
                <c:pt idx="1">
                  <c:v>15</c:v>
                </c:pt>
                <c:pt idx="2">
                  <c:v>24</c:v>
                </c:pt>
                <c:pt idx="3">
                  <c:v>33</c:v>
                </c:pt>
                <c:pt idx="4">
                  <c:v>42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A-4F9B-83F5-14E4618CE31D}"/>
            </c:ext>
          </c:extLst>
        </c:ser>
        <c:ser>
          <c:idx val="2"/>
          <c:order val="2"/>
          <c:tx>
            <c:strRef>
              <c:f>'A glance'!$F$5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 glance'!$C$6:$C$11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 glance'!$F$6:$F$11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CA-4F9B-83F5-14E4618CE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78959"/>
        <c:axId val="103178127"/>
      </c:barChart>
      <c:lineChart>
        <c:grouping val="standard"/>
        <c:varyColors val="0"/>
        <c:ser>
          <c:idx val="3"/>
          <c:order val="3"/>
          <c:tx>
            <c:strRef>
              <c:f>'A glance'!$G$5</c:f>
              <c:strCache>
                <c:ptCount val="1"/>
                <c:pt idx="0">
                  <c:v>ROI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 glance'!$C$6:$C$11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 glance'!$G$6:$G$11</c:f>
              <c:numCache>
                <c:formatCode>0.00%</c:formatCode>
                <c:ptCount val="6"/>
                <c:pt idx="0">
                  <c:v>0.66669999999999996</c:v>
                </c:pt>
                <c:pt idx="1">
                  <c:v>0.33329999999999999</c:v>
                </c:pt>
                <c:pt idx="2">
                  <c:v>0.25</c:v>
                </c:pt>
                <c:pt idx="3">
                  <c:v>0.21210000000000001</c:v>
                </c:pt>
                <c:pt idx="4">
                  <c:v>0.1905</c:v>
                </c:pt>
                <c:pt idx="5">
                  <c:v>0.17649999999999999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CA-4F9B-83F5-14E4618CE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75631"/>
        <c:axId val="103178543"/>
      </c:lineChart>
      <c:catAx>
        <c:axId val="10317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8127"/>
        <c:crosses val="autoZero"/>
        <c:auto val="1"/>
        <c:lblAlgn val="ctr"/>
        <c:lblOffset val="100"/>
        <c:noMultiLvlLbl val="0"/>
      </c:catAx>
      <c:valAx>
        <c:axId val="10317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Sales- Cost-Profit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8959"/>
        <c:crosses val="autoZero"/>
        <c:crossBetween val="between"/>
      </c:valAx>
      <c:valAx>
        <c:axId val="1031785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ROI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5631"/>
        <c:crosses val="max"/>
        <c:crossBetween val="between"/>
      </c:valAx>
      <c:catAx>
        <c:axId val="103175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178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Parabola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Scatter_SOLVED!$C$17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Scatter_SOLVED!$B$18:$B$28</c:f>
              <c:numCache>
                <c:formatCode>General</c:formatCode>
                <c:ptCount val="11"/>
                <c:pt idx="0">
                  <c:v>1</c:v>
                </c:pt>
                <c:pt idx="1">
                  <c:v>10</c:v>
                </c:pt>
                <c:pt idx="2">
                  <c:v>19</c:v>
                </c:pt>
                <c:pt idx="3">
                  <c:v>28</c:v>
                </c:pt>
                <c:pt idx="4">
                  <c:v>37</c:v>
                </c:pt>
                <c:pt idx="5">
                  <c:v>46</c:v>
                </c:pt>
                <c:pt idx="6">
                  <c:v>55</c:v>
                </c:pt>
                <c:pt idx="7">
                  <c:v>64</c:v>
                </c:pt>
                <c:pt idx="8">
                  <c:v>73</c:v>
                </c:pt>
                <c:pt idx="9">
                  <c:v>82</c:v>
                </c:pt>
                <c:pt idx="10">
                  <c:v>91</c:v>
                </c:pt>
              </c:numCache>
            </c:numRef>
          </c:xVal>
          <c:yVal>
            <c:numRef>
              <c:f>Scatter_SOLVED!$C$18:$C$28</c:f>
              <c:numCache>
                <c:formatCode>General</c:formatCode>
                <c:ptCount val="11"/>
                <c:pt idx="0">
                  <c:v>1</c:v>
                </c:pt>
                <c:pt idx="1">
                  <c:v>100</c:v>
                </c:pt>
                <c:pt idx="2">
                  <c:v>361</c:v>
                </c:pt>
                <c:pt idx="3">
                  <c:v>784</c:v>
                </c:pt>
                <c:pt idx="4">
                  <c:v>1369</c:v>
                </c:pt>
                <c:pt idx="5">
                  <c:v>2116</c:v>
                </c:pt>
                <c:pt idx="6">
                  <c:v>3025</c:v>
                </c:pt>
                <c:pt idx="7">
                  <c:v>4096</c:v>
                </c:pt>
                <c:pt idx="8">
                  <c:v>5329</c:v>
                </c:pt>
                <c:pt idx="9">
                  <c:v>6724</c:v>
                </c:pt>
                <c:pt idx="10">
                  <c:v>8281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EF-41AF-9AD4-5F3BA7367B50}"/>
            </c:ext>
          </c:extLst>
        </c:ser>
        <c:ser>
          <c:idx val="1"/>
          <c:order val="1"/>
          <c:tx>
            <c:strRef>
              <c:f>Scatter_SOLVED!$D$17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Scatter_SOLVED!$B$18:$B$28</c:f>
              <c:numCache>
                <c:formatCode>General</c:formatCode>
                <c:ptCount val="11"/>
                <c:pt idx="0">
                  <c:v>1</c:v>
                </c:pt>
                <c:pt idx="1">
                  <c:v>10</c:v>
                </c:pt>
                <c:pt idx="2">
                  <c:v>19</c:v>
                </c:pt>
                <c:pt idx="3">
                  <c:v>28</c:v>
                </c:pt>
                <c:pt idx="4">
                  <c:v>37</c:v>
                </c:pt>
                <c:pt idx="5">
                  <c:v>46</c:v>
                </c:pt>
                <c:pt idx="6">
                  <c:v>55</c:v>
                </c:pt>
                <c:pt idx="7">
                  <c:v>64</c:v>
                </c:pt>
                <c:pt idx="8">
                  <c:v>73</c:v>
                </c:pt>
                <c:pt idx="9">
                  <c:v>82</c:v>
                </c:pt>
                <c:pt idx="10">
                  <c:v>91</c:v>
                </c:pt>
              </c:numCache>
            </c:numRef>
          </c:xVal>
          <c:yVal>
            <c:numRef>
              <c:f>Scatter_SOLVED!$D$18:$D$28</c:f>
              <c:numCache>
                <c:formatCode>General</c:formatCode>
                <c:ptCount val="11"/>
                <c:pt idx="0">
                  <c:v>1101</c:v>
                </c:pt>
                <c:pt idx="1">
                  <c:v>2100</c:v>
                </c:pt>
                <c:pt idx="2">
                  <c:v>3261</c:v>
                </c:pt>
                <c:pt idx="3">
                  <c:v>4584</c:v>
                </c:pt>
                <c:pt idx="4">
                  <c:v>6069</c:v>
                </c:pt>
                <c:pt idx="5">
                  <c:v>7716</c:v>
                </c:pt>
                <c:pt idx="6">
                  <c:v>9525</c:v>
                </c:pt>
                <c:pt idx="7">
                  <c:v>11496</c:v>
                </c:pt>
                <c:pt idx="8">
                  <c:v>13629</c:v>
                </c:pt>
                <c:pt idx="9">
                  <c:v>15924</c:v>
                </c:pt>
                <c:pt idx="10">
                  <c:v>18381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EF-41AF-9AD4-5F3BA7367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807552"/>
        <c:axId val="577803944"/>
      </c:scatterChart>
      <c:valAx>
        <c:axId val="57780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03944"/>
        <c:crosses val="autoZero"/>
        <c:crossBetween val="midCat"/>
      </c:valAx>
      <c:valAx>
        <c:axId val="57780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0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Trends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Lines_SOLVED!$D$13</c:f>
              <c:strCache>
                <c:ptCount val="1"/>
                <c:pt idx="0">
                  <c:v>Desktops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Lines_SOLVED!$C$14:$C$19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Lines_SOLVED!$D$14:$D$19</c:f>
              <c:numCache>
                <c:formatCode>General</c:formatCode>
                <c:ptCount val="6"/>
                <c:pt idx="0">
                  <c:v>80</c:v>
                </c:pt>
                <c:pt idx="1">
                  <c:v>45</c:v>
                </c:pt>
                <c:pt idx="2">
                  <c:v>25</c:v>
                </c:pt>
                <c:pt idx="3">
                  <c:v>20</c:v>
                </c:pt>
                <c:pt idx="4">
                  <c:v>10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A-4378-B7D4-A6D5AE9FF45F}"/>
            </c:ext>
          </c:extLst>
        </c:ser>
        <c:ser>
          <c:idx val="1"/>
          <c:order val="1"/>
          <c:tx>
            <c:strRef>
              <c:f>Lines_SOLVED!$E$13</c:f>
              <c:strCache>
                <c:ptCount val="1"/>
                <c:pt idx="0">
                  <c:v>Laptops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Lines_SOLVED!$C$14:$C$19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Lines_SOLVED!$E$14:$E$19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35</c:v>
                </c:pt>
                <c:pt idx="3">
                  <c:v>50</c:v>
                </c:pt>
                <c:pt idx="4">
                  <c:v>45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CA-4378-B7D4-A6D5AE9FF45F}"/>
            </c:ext>
          </c:extLst>
        </c:ser>
        <c:ser>
          <c:idx val="2"/>
          <c:order val="2"/>
          <c:tx>
            <c:strRef>
              <c:f>Lines_SOLVED!$F$13</c:f>
              <c:strCache>
                <c:ptCount val="1"/>
                <c:pt idx="0">
                  <c:v>Tablets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Lines_SOLVED!$C$14:$C$19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Lines_SOLVED!$F$14:$F$19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35</c:v>
                </c:pt>
                <c:pt idx="4">
                  <c:v>60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CA-4378-B7D4-A6D5AE9FF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562072"/>
        <c:axId val="242563712"/>
      </c:lineChart>
      <c:catAx>
        <c:axId val="24256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563712"/>
        <c:crosses val="autoZero"/>
        <c:auto val="1"/>
        <c:lblAlgn val="ctr"/>
        <c:lblOffset val="100"/>
        <c:noMultiLvlLbl val="0"/>
      </c:catAx>
      <c:valAx>
        <c:axId val="24256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56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and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Columns_SOLVED!$D$14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Columns_SOLVED!$C$15:$C$20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Columns_SOLVED!$D$15:$D$20</c:f>
              <c:numCache>
                <c:formatCode>"$"#,##0</c:formatCode>
                <c:ptCount val="6"/>
                <c:pt idx="0">
                  <c:v>70000</c:v>
                </c:pt>
                <c:pt idx="1">
                  <c:v>80500</c:v>
                </c:pt>
                <c:pt idx="2">
                  <c:v>75000</c:v>
                </c:pt>
                <c:pt idx="3">
                  <c:v>90000</c:v>
                </c:pt>
                <c:pt idx="4">
                  <c:v>105000</c:v>
                </c:pt>
                <c:pt idx="5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E-40D3-AFB0-9493357268F3}"/>
            </c:ext>
          </c:extLst>
        </c:ser>
        <c:ser>
          <c:idx val="1"/>
          <c:order val="1"/>
          <c:tx>
            <c:strRef>
              <c:f>Columns_SOLVED!$E$14</c:f>
              <c:strCache>
                <c:ptCount val="1"/>
                <c:pt idx="0">
                  <c:v>Expenses</c:v>
                </c:pt>
              </c:strCache>
            </c:strRef>
          </c:tx>
          <c:invertIfNegative val="0"/>
          <c:cat>
            <c:strRef>
              <c:f>Columns_SOLVED!$C$15:$C$20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Columns_SOLVED!$E$15:$E$20</c:f>
              <c:numCache>
                <c:formatCode>"$"#,##0</c:formatCode>
                <c:ptCount val="6"/>
                <c:pt idx="0">
                  <c:v>10000</c:v>
                </c:pt>
                <c:pt idx="1">
                  <c:v>15000</c:v>
                </c:pt>
                <c:pt idx="2">
                  <c:v>20000</c:v>
                </c:pt>
                <c:pt idx="3">
                  <c:v>30000</c:v>
                </c:pt>
                <c:pt idx="4">
                  <c:v>45000</c:v>
                </c:pt>
                <c:pt idx="5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E-40D3-AFB0-949335726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16480"/>
        <c:axId val="110526464"/>
      </c:barChart>
      <c:catAx>
        <c:axId val="110516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0526464"/>
        <c:crosses val="autoZero"/>
        <c:auto val="1"/>
        <c:lblAlgn val="ctr"/>
        <c:lblOffset val="100"/>
        <c:noMultiLvlLbl val="0"/>
      </c:catAx>
      <c:valAx>
        <c:axId val="110526464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110516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Life (in 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Bar_SOLVED!$D$14</c:f>
              <c:strCache>
                <c:ptCount val="1"/>
                <c:pt idx="0">
                  <c:v>Restock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Bar_SOLVED!$C$15:$C$18</c:f>
              <c:strCache>
                <c:ptCount val="4"/>
                <c:pt idx="0">
                  <c:v>Apples</c:v>
                </c:pt>
                <c:pt idx="1">
                  <c:v>Oranges</c:v>
                </c:pt>
                <c:pt idx="2">
                  <c:v>Bananas</c:v>
                </c:pt>
                <c:pt idx="3">
                  <c:v>Pears</c:v>
                </c:pt>
              </c:strCache>
            </c:strRef>
          </c:cat>
          <c:val>
            <c:numRef>
              <c:f>Bar_SOLVED!$D$15:$D$18</c:f>
              <c:numCache>
                <c:formatCode>#,##0</c:formatCode>
                <c:ptCount val="4"/>
                <c:pt idx="0">
                  <c:v>14</c:v>
                </c:pt>
                <c:pt idx="1">
                  <c:v>8</c:v>
                </c:pt>
                <c:pt idx="2">
                  <c:v>18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4-4215-85B7-64E2F2AA21AC}"/>
            </c:ext>
          </c:extLst>
        </c:ser>
        <c:ser>
          <c:idx val="1"/>
          <c:order val="1"/>
          <c:tx>
            <c:strRef>
              <c:f>Bar_SOLVED!$E$14</c:f>
              <c:strCache>
                <c:ptCount val="1"/>
                <c:pt idx="0">
                  <c:v>Shelf Life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Bar_SOLVED!$C$15:$C$18</c:f>
              <c:strCache>
                <c:ptCount val="4"/>
                <c:pt idx="0">
                  <c:v>Apples</c:v>
                </c:pt>
                <c:pt idx="1">
                  <c:v>Oranges</c:v>
                </c:pt>
                <c:pt idx="2">
                  <c:v>Bananas</c:v>
                </c:pt>
                <c:pt idx="3">
                  <c:v>Pears</c:v>
                </c:pt>
              </c:strCache>
            </c:strRef>
          </c:cat>
          <c:val>
            <c:numRef>
              <c:f>Bar_SOLVED!$E$15:$E$18</c:f>
              <c:numCache>
                <c:formatCode>#,##0</c:formatCode>
                <c:ptCount val="4"/>
                <c:pt idx="0">
                  <c:v>19</c:v>
                </c:pt>
                <c:pt idx="1">
                  <c:v>15</c:v>
                </c:pt>
                <c:pt idx="2">
                  <c:v>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4-4215-85B7-64E2F2AA2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334120"/>
        <c:axId val="194334776"/>
      </c:barChart>
      <c:catAx>
        <c:axId val="194334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34776"/>
        <c:crosses val="autoZero"/>
        <c:auto val="1"/>
        <c:lblAlgn val="ctr"/>
        <c:lblOffset val="100"/>
        <c:noMultiLvlLbl val="0"/>
      </c:catAx>
      <c:valAx>
        <c:axId val="194334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3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Pie_SOLVED!$D$15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C-44F1-84E8-DC662C96B7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C-44F1-84E8-DC662C96B7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C-44F1-84E8-DC662C96B7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C-44F1-84E8-DC662C96B751}"/>
              </c:ext>
            </c:extLst>
          </c:dPt>
          <c:dLbls>
            <c:dLbl>
              <c:idx val="0"/>
              <c:layout>
                <c:manualLayout>
                  <c:x val="4.8596116207123591E-2"/>
                  <c:y val="-0.115074395375694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AC-44F1-84E8-DC662C96B751}"/>
                </c:ext>
              </c:extLst>
            </c:dLbl>
            <c:dLbl>
              <c:idx val="1"/>
              <c:layout>
                <c:manualLayout>
                  <c:x val="0.20476923631968694"/>
                  <c:y val="-0.119906292824121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C-44F1-84E8-DC662C96B751}"/>
                </c:ext>
              </c:extLst>
            </c:dLbl>
            <c:dLbl>
              <c:idx val="3"/>
              <c:layout>
                <c:manualLayout>
                  <c:x val="-1.8767757123143113E-2"/>
                  <c:y val="9.772660097635187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AC-44F1-84E8-DC662C96B7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Pie_SOLVED!$C$16:$C$19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Pie_SOLVED!$D$16:$D$19</c:f>
              <c:numCache>
                <c:formatCode>"$"#,##0</c:formatCode>
                <c:ptCount val="4"/>
                <c:pt idx="0">
                  <c:v>90000</c:v>
                </c:pt>
                <c:pt idx="1">
                  <c:v>50000</c:v>
                </c:pt>
                <c:pt idx="2">
                  <c:v>30000</c:v>
                </c:pt>
                <c:pt idx="3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AC-44F1-84E8-DC662C96B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Example1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457647466808906"/>
          <c:y val="0.14837095229789521"/>
          <c:w val="0.59971384018779383"/>
          <c:h val="0.62634629467410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'Double Axis_SOLVED'!$D$16</c:f>
              <c:strCache>
                <c:ptCount val="1"/>
                <c:pt idx="0">
                  <c:v>Quantity</c:v>
                </c:pt>
              </c:strCache>
            </c:strRef>
          </c:tx>
          <c:invertIfNegative val="0"/>
          <c:cat>
            <c:strRef>
              <c:f>'Double Axis_SOLVED'!$C$16:$C$28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'Double Axis_SOLVED'!$D$16:$D$28</c:f>
              <c:numCache>
                <c:formatCode>General</c:formatCode>
                <c:ptCount val="13"/>
                <c:pt idx="0">
                  <c:v>0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56</c:v>
                </c:pt>
                <c:pt idx="5">
                  <c:v>78</c:v>
                </c:pt>
                <c:pt idx="6">
                  <c:v>34</c:v>
                </c:pt>
                <c:pt idx="7">
                  <c:v>78</c:v>
                </c:pt>
                <c:pt idx="8">
                  <c:v>90</c:v>
                </c:pt>
                <c:pt idx="9">
                  <c:v>45</c:v>
                </c:pt>
                <c:pt idx="10">
                  <c:v>34</c:v>
                </c:pt>
                <c:pt idx="11">
                  <c:v>56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2-4E20-BD5D-8C07E3785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941824"/>
        <c:axId val="126921344"/>
      </c:barChart>
      <c:lineChart>
        <c:grouping val="standard"/>
        <c:varyColors val="0"/>
        <c:ser>
          <c:idx val="1"/>
          <c:order val="1"/>
          <c:tx>
            <c:strRef>
              <c:f>'Double Axis_SOLVED'!$E$16</c:f>
              <c:strCache>
                <c:ptCount val="1"/>
                <c:pt idx="0">
                  <c:v>Cost</c:v>
                </c:pt>
              </c:strCache>
            </c:strRef>
          </c:tx>
          <c:marker>
            <c:symbol val="none"/>
          </c:marker>
          <c:cat>
            <c:strRef>
              <c:f>'Double Axis_SOLVED'!$C$16:$C$28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'Double Axis_SOLVED'!$E$16:$E$28</c:f>
              <c:numCache>
                <c:formatCode>General</c:formatCode>
                <c:ptCount val="13"/>
                <c:pt idx="0">
                  <c:v>0</c:v>
                </c:pt>
                <c:pt idx="1">
                  <c:v>2300</c:v>
                </c:pt>
                <c:pt idx="2">
                  <c:v>4600</c:v>
                </c:pt>
                <c:pt idx="3">
                  <c:v>6900</c:v>
                </c:pt>
                <c:pt idx="4">
                  <c:v>5600</c:v>
                </c:pt>
                <c:pt idx="5">
                  <c:v>15600</c:v>
                </c:pt>
                <c:pt idx="6">
                  <c:v>10200</c:v>
                </c:pt>
                <c:pt idx="7">
                  <c:v>7800</c:v>
                </c:pt>
                <c:pt idx="8">
                  <c:v>18000</c:v>
                </c:pt>
                <c:pt idx="9">
                  <c:v>13500</c:v>
                </c:pt>
                <c:pt idx="10">
                  <c:v>3400</c:v>
                </c:pt>
                <c:pt idx="11">
                  <c:v>11200</c:v>
                </c:pt>
                <c:pt idx="12">
                  <c:v>23400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E2-4E20-BD5D-8C07E3785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4928"/>
        <c:axId val="126918656"/>
      </c:lineChart>
      <c:catAx>
        <c:axId val="112924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6918656"/>
        <c:crosses val="autoZero"/>
        <c:auto val="1"/>
        <c:lblAlgn val="ctr"/>
        <c:lblOffset val="100"/>
        <c:noMultiLvlLbl val="0"/>
      </c:catAx>
      <c:valAx>
        <c:axId val="126918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112924928"/>
        <c:crosses val="autoZero"/>
        <c:crossBetween val="between"/>
      </c:valAx>
      <c:valAx>
        <c:axId val="126921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70C0"/>
                </a:solidFill>
              </a:defRPr>
            </a:pPr>
            <a:endParaRPr lang="en-US"/>
          </a:p>
        </c:txPr>
        <c:crossAx val="126941824"/>
        <c:crosses val="max"/>
        <c:crossBetween val="between"/>
      </c:valAx>
      <c:catAx>
        <c:axId val="12694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92134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Example2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9769134226884924"/>
          <c:y val="0.16024758980740561"/>
          <c:w val="0.60173487656153446"/>
          <c:h val="0.6002651458252299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'Double Axis_SOLVED'!$E$16</c:f>
              <c:strCache>
                <c:ptCount val="1"/>
                <c:pt idx="0">
                  <c:v>Cost</c:v>
                </c:pt>
              </c:strCache>
            </c:strRef>
          </c:tx>
          <c:invertIfNegative val="0"/>
          <c:cat>
            <c:strRef>
              <c:f>'Double Axis_SOLVED'!$C$16:$C$28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'Double Axis_SOLVED'!$E$16:$E$28</c:f>
              <c:numCache>
                <c:formatCode>General</c:formatCode>
                <c:ptCount val="13"/>
                <c:pt idx="0">
                  <c:v>0</c:v>
                </c:pt>
                <c:pt idx="1">
                  <c:v>2300</c:v>
                </c:pt>
                <c:pt idx="2">
                  <c:v>4600</c:v>
                </c:pt>
                <c:pt idx="3">
                  <c:v>6900</c:v>
                </c:pt>
                <c:pt idx="4">
                  <c:v>5600</c:v>
                </c:pt>
                <c:pt idx="5">
                  <c:v>15600</c:v>
                </c:pt>
                <c:pt idx="6">
                  <c:v>10200</c:v>
                </c:pt>
                <c:pt idx="7">
                  <c:v>7800</c:v>
                </c:pt>
                <c:pt idx="8">
                  <c:v>18000</c:v>
                </c:pt>
                <c:pt idx="9">
                  <c:v>13500</c:v>
                </c:pt>
                <c:pt idx="10">
                  <c:v>3400</c:v>
                </c:pt>
                <c:pt idx="11">
                  <c:v>11200</c:v>
                </c:pt>
                <c:pt idx="12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8-4E41-9764-A83F5439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axId val="358855424"/>
        <c:axId val="358856960"/>
      </c:barChart>
      <c:barChart>
        <c:barDir val="col"/>
        <c:grouping val="clustered"/>
        <c:varyColors val="0"/>
        <c:ser>
          <c:idx val="0"/>
          <c:order val="0"/>
          <c:tx>
            <c:strRef>
              <c:f>'Double Axis_SOLVED'!$D$16</c:f>
              <c:strCache>
                <c:ptCount val="1"/>
                <c:pt idx="0">
                  <c:v>Quantity</c:v>
                </c:pt>
              </c:strCache>
            </c:strRef>
          </c:tx>
          <c:invertIfNegative val="0"/>
          <c:cat>
            <c:strRef>
              <c:f>'Double Axis_SOLVED'!$C$16:$C$28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'Double Axis_SOLVED'!$D$16:$D$28</c:f>
              <c:numCache>
                <c:formatCode>General</c:formatCode>
                <c:ptCount val="13"/>
                <c:pt idx="0">
                  <c:v>0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56</c:v>
                </c:pt>
                <c:pt idx="5">
                  <c:v>78</c:v>
                </c:pt>
                <c:pt idx="6">
                  <c:v>34</c:v>
                </c:pt>
                <c:pt idx="7">
                  <c:v>78</c:v>
                </c:pt>
                <c:pt idx="8">
                  <c:v>90</c:v>
                </c:pt>
                <c:pt idx="9">
                  <c:v>45</c:v>
                </c:pt>
                <c:pt idx="10">
                  <c:v>34</c:v>
                </c:pt>
                <c:pt idx="11">
                  <c:v>56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8-4E41-9764-A83F5439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7"/>
        <c:axId val="361833984"/>
        <c:axId val="361832448"/>
      </c:barChart>
      <c:catAx>
        <c:axId val="358855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58856960"/>
        <c:crosses val="autoZero"/>
        <c:auto val="1"/>
        <c:lblAlgn val="ctr"/>
        <c:lblOffset val="100"/>
        <c:noMultiLvlLbl val="0"/>
      </c:catAx>
      <c:valAx>
        <c:axId val="358856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r>
                  <a:rPr lang="en-GB">
                    <a:solidFill>
                      <a:schemeClr val="accent2"/>
                    </a:solidFill>
                  </a:rPr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358855424"/>
        <c:crosses val="autoZero"/>
        <c:crossBetween val="between"/>
      </c:valAx>
      <c:valAx>
        <c:axId val="36183244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r>
                  <a:rPr lang="en-GB">
                    <a:solidFill>
                      <a:schemeClr val="accent1"/>
                    </a:solidFill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1"/>
                </a:solidFill>
              </a:defRPr>
            </a:pPr>
            <a:endParaRPr lang="en-US"/>
          </a:p>
        </c:txPr>
        <c:crossAx val="361833984"/>
        <c:crosses val="max"/>
        <c:crossBetween val="between"/>
      </c:valAx>
      <c:catAx>
        <c:axId val="361833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183244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153279</xdr:colOff>
      <xdr:row>3</xdr:row>
      <xdr:rowOff>130176</xdr:rowOff>
    </xdr:from>
    <xdr:to>
      <xdr:col>2</xdr:col>
      <xdr:colOff>340604</xdr:colOff>
      <xdr:row>12</xdr:row>
      <xdr:rowOff>140892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2A8B310-B0F6-45A9-BD6F-9950ECE1B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254" y="825501"/>
          <a:ext cx="4225925" cy="1639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306469</xdr:colOff>
      <xdr:row>2</xdr:row>
      <xdr:rowOff>164264</xdr:rowOff>
    </xdr:from>
    <xdr:to>
      <xdr:col>14</xdr:col>
      <xdr:colOff>306469</xdr:colOff>
      <xdr:row>18</xdr:row>
      <xdr:rowOff>3508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13CBD1-272D-4C5B-AECB-64C82EC48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761999</xdr:colOff>
      <xdr:row>15</xdr:row>
      <xdr:rowOff>189035</xdr:rowOff>
    </xdr:from>
    <xdr:to>
      <xdr:col>10</xdr:col>
      <xdr:colOff>761999</xdr:colOff>
      <xdr:row>30</xdr:row>
      <xdr:rowOff>74735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5EA04F-D6A9-420C-8EE1-AE0451554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12</xdr:row>
      <xdr:rowOff>6</xdr:rowOff>
    </xdr:from>
    <xdr:to>
      <xdr:col>14</xdr:col>
      <xdr:colOff>295275</xdr:colOff>
      <xdr:row>26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4E080-AE53-4529-8465-82C81CFA3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</xdr:colOff>
      <xdr:row>13</xdr:row>
      <xdr:rowOff>9531</xdr:rowOff>
    </xdr:from>
    <xdr:to>
      <xdr:col>14</xdr:col>
      <xdr:colOff>319087</xdr:colOff>
      <xdr:row>27</xdr:row>
      <xdr:rowOff>85731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175A2-2333-48DC-8F0E-E8B155F65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595312</xdr:colOff>
      <xdr:row>13</xdr:row>
      <xdr:rowOff>6</xdr:rowOff>
    </xdr:from>
    <xdr:to>
      <xdr:col>13</xdr:col>
      <xdr:colOff>290512</xdr:colOff>
      <xdr:row>27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12</xdr:row>
      <xdr:rowOff>6</xdr:rowOff>
    </xdr:from>
    <xdr:to>
      <xdr:col>15</xdr:col>
      <xdr:colOff>38100</xdr:colOff>
      <xdr:row>30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C2431-D3D9-469E-88CE-32CCB5A94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505240</xdr:colOff>
      <xdr:row>17</xdr:row>
      <xdr:rowOff>74543</xdr:rowOff>
    </xdr:from>
    <xdr:to>
      <xdr:col>14</xdr:col>
      <xdr:colOff>165652</xdr:colOff>
      <xdr:row>33</xdr:row>
      <xdr:rowOff>116784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57133BBA-85C4-43C9-B304-C83D8B5DF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331304</xdr:colOff>
      <xdr:row>17</xdr:row>
      <xdr:rowOff>73714</xdr:rowOff>
    </xdr:from>
    <xdr:to>
      <xdr:col>21</xdr:col>
      <xdr:colOff>16566</xdr:colOff>
      <xdr:row>33</xdr:row>
      <xdr:rowOff>99391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B1CFAD7B-5597-43C9-ABCE-CE9DE8D61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online-my.sharepoint.com/personal/xavierh_micproductivity_com/Documents/1210%20REPSOL%20Despacho%20Electrico/GRAFICOS%20Tipos%20y%20Ejempl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ble Eje"/>
      <sheetName val="Graficos Interactivos 1"/>
      <sheetName val="Graficos Interactivos 2"/>
      <sheetName val="Graficos Interactivos 2 Data"/>
      <sheetName val="Instrumento1"/>
      <sheetName val="Instrumento2"/>
      <sheetName val="Gráficos avanzados2"/>
      <sheetName val="Gráficos avanzados3"/>
    </sheetNames>
    <sheetDataSet>
      <sheetData sheetId="0">
        <row r="4">
          <cell r="C4" t="str">
            <v>Enero</v>
          </cell>
        </row>
      </sheetData>
      <sheetData sheetId="1" refreshError="1"/>
      <sheetData sheetId="2">
        <row r="6">
          <cell r="O6" t="str">
            <v>DatosViento</v>
          </cell>
        </row>
        <row r="13">
          <cell r="J13" t="str">
            <v>FORT SMITH, AR</v>
          </cell>
        </row>
        <row r="15">
          <cell r="J15" t="str">
            <v>HONOLULU,HI</v>
          </cell>
        </row>
      </sheetData>
      <sheetData sheetId="3">
        <row r="8">
          <cell r="A8" t="str">
            <v>ABERDEEN, SD</v>
          </cell>
        </row>
        <row r="9">
          <cell r="A9" t="str">
            <v>ABILENE, TX</v>
          </cell>
        </row>
        <row r="10">
          <cell r="A10" t="str">
            <v>AKRON, OH</v>
          </cell>
        </row>
        <row r="11">
          <cell r="A11" t="str">
            <v>ALAMOSA, CO</v>
          </cell>
        </row>
        <row r="12">
          <cell r="A12" t="str">
            <v>ALBANY, NY</v>
          </cell>
        </row>
        <row r="13">
          <cell r="A13" t="str">
            <v>ALBUQUERQUE, NM</v>
          </cell>
        </row>
        <row r="14">
          <cell r="A14" t="str">
            <v>ALLENTOWN, PA</v>
          </cell>
        </row>
        <row r="15">
          <cell r="A15" t="str">
            <v>ALPENA, MI</v>
          </cell>
        </row>
        <row r="16">
          <cell r="A16" t="str">
            <v>AMARILLO, TX</v>
          </cell>
        </row>
        <row r="17">
          <cell r="A17" t="str">
            <v>ANCHORAGE, AK</v>
          </cell>
        </row>
        <row r="18">
          <cell r="A18" t="str">
            <v>ANNETTE, AK</v>
          </cell>
        </row>
        <row r="19">
          <cell r="A19" t="str">
            <v>APALACHICOLA, FL</v>
          </cell>
        </row>
        <row r="20">
          <cell r="A20" t="str">
            <v>ASHEVILLE, NC</v>
          </cell>
        </row>
        <row r="21">
          <cell r="A21" t="str">
            <v>ASTORIA, OR</v>
          </cell>
        </row>
        <row r="22">
          <cell r="A22" t="str">
            <v>ATHENS, GA</v>
          </cell>
        </row>
        <row r="23">
          <cell r="A23" t="str">
            <v>ATLANTA, GA</v>
          </cell>
        </row>
        <row r="24">
          <cell r="A24" t="str">
            <v>ATLANTIC CITY AP, NJ</v>
          </cell>
        </row>
        <row r="25">
          <cell r="A25" t="str">
            <v>ATLANTIC CITY C.O.,NJ</v>
          </cell>
        </row>
        <row r="26">
          <cell r="A26" t="str">
            <v>AUGUSTA,GA</v>
          </cell>
        </row>
        <row r="27">
          <cell r="A27" t="str">
            <v>AUSTIN/BERGSTROM, TX</v>
          </cell>
        </row>
        <row r="28">
          <cell r="A28" t="str">
            <v>AUSTIN/CITY, TX</v>
          </cell>
        </row>
        <row r="29">
          <cell r="A29" t="str">
            <v>AVOCA, PA</v>
          </cell>
        </row>
        <row r="30">
          <cell r="A30" t="str">
            <v>BAKERSFIELD, CA</v>
          </cell>
        </row>
        <row r="31">
          <cell r="A31" t="str">
            <v>BALTIMORE, MD</v>
          </cell>
        </row>
        <row r="32">
          <cell r="A32" t="str">
            <v>BARROW, AK</v>
          </cell>
        </row>
        <row r="33">
          <cell r="A33" t="str">
            <v>BATON ROUGE, LA</v>
          </cell>
        </row>
        <row r="34">
          <cell r="A34" t="str">
            <v>BECKLEY, WV</v>
          </cell>
        </row>
        <row r="35">
          <cell r="A35" t="str">
            <v>BETHEL, AK</v>
          </cell>
        </row>
        <row r="36">
          <cell r="A36" t="str">
            <v>BETTLES,AK</v>
          </cell>
        </row>
        <row r="37">
          <cell r="A37" t="str">
            <v>BIG DELTA,AK</v>
          </cell>
        </row>
        <row r="38">
          <cell r="A38" t="str">
            <v>BILLINGS, MT</v>
          </cell>
        </row>
        <row r="39">
          <cell r="A39" t="str">
            <v>BINGHAMTON, NY</v>
          </cell>
        </row>
        <row r="40">
          <cell r="A40" t="str">
            <v>BIRMINGHAM AP,AL</v>
          </cell>
        </row>
        <row r="41">
          <cell r="A41" t="str">
            <v>BISHOP, CA</v>
          </cell>
        </row>
        <row r="42">
          <cell r="A42" t="str">
            <v>BISMARCK, ND</v>
          </cell>
        </row>
        <row r="43">
          <cell r="A43" t="str">
            <v>BLOCK IS.,RI</v>
          </cell>
        </row>
        <row r="44">
          <cell r="A44" t="str">
            <v>BLUE HILL, MA</v>
          </cell>
        </row>
        <row r="45">
          <cell r="A45" t="str">
            <v>BOISE, ID</v>
          </cell>
        </row>
        <row r="46">
          <cell r="A46" t="str">
            <v>BOSTON, MA</v>
          </cell>
        </row>
        <row r="47">
          <cell r="A47" t="str">
            <v>BRIDGEPORT, CT</v>
          </cell>
        </row>
        <row r="48">
          <cell r="A48" t="str">
            <v>BRISTOL-JHNSN CTY-KNGSPRT,TN</v>
          </cell>
        </row>
        <row r="49">
          <cell r="A49" t="str">
            <v>BROWNSVILLE, TX</v>
          </cell>
        </row>
        <row r="50">
          <cell r="A50" t="str">
            <v>BUFFALO, NY</v>
          </cell>
        </row>
        <row r="51">
          <cell r="A51" t="str">
            <v>BURLINGTON, VT</v>
          </cell>
        </row>
        <row r="52">
          <cell r="A52" t="str">
            <v>BURNS,OR</v>
          </cell>
        </row>
        <row r="53">
          <cell r="A53" t="str">
            <v>CAPE HATTERAS, NC</v>
          </cell>
        </row>
        <row r="54">
          <cell r="A54" t="str">
            <v>CARIBOU, ME</v>
          </cell>
        </row>
        <row r="55">
          <cell r="A55" t="str">
            <v>CASPER, WY</v>
          </cell>
        </row>
        <row r="56">
          <cell r="A56" t="str">
            <v>CHARLESTON AP,SC</v>
          </cell>
        </row>
        <row r="57">
          <cell r="A57" t="str">
            <v>CHARLESTON C.O.,SC</v>
          </cell>
        </row>
        <row r="58">
          <cell r="A58" t="str">
            <v>CHARLESTON, WV</v>
          </cell>
        </row>
        <row r="59">
          <cell r="A59" t="str">
            <v>CHARLOTTE, NC</v>
          </cell>
        </row>
        <row r="60">
          <cell r="A60" t="str">
            <v>CHATTANOOGA, TN</v>
          </cell>
        </row>
        <row r="61">
          <cell r="A61" t="str">
            <v>CHEYENNE, WY</v>
          </cell>
        </row>
        <row r="62">
          <cell r="A62" t="str">
            <v>CHICAGO,IL</v>
          </cell>
        </row>
        <row r="63">
          <cell r="A63" t="str">
            <v>CHUUK, E. CAROLINE IS., PC</v>
          </cell>
        </row>
        <row r="64">
          <cell r="A64" t="str">
            <v>CLAYTON, NM</v>
          </cell>
        </row>
        <row r="65">
          <cell r="A65" t="str">
            <v>CLEVELAND, OH</v>
          </cell>
        </row>
        <row r="66">
          <cell r="A66" t="str">
            <v>COLD BAY,AK</v>
          </cell>
        </row>
        <row r="67">
          <cell r="A67" t="str">
            <v>COLORADO SPRINGS, CO</v>
          </cell>
        </row>
        <row r="68">
          <cell r="A68" t="str">
            <v>COLUMBIA, MO</v>
          </cell>
        </row>
        <row r="69">
          <cell r="A69" t="str">
            <v>COLUMBIA, SC</v>
          </cell>
        </row>
        <row r="70">
          <cell r="A70" t="str">
            <v>COLUMBUS, GA</v>
          </cell>
        </row>
        <row r="71">
          <cell r="A71" t="str">
            <v>COLUMBUS, OH</v>
          </cell>
        </row>
        <row r="72">
          <cell r="A72" t="str">
            <v>CONCORD, NH</v>
          </cell>
        </row>
        <row r="73">
          <cell r="A73" t="str">
            <v>CONCORDIA, KS</v>
          </cell>
        </row>
        <row r="74">
          <cell r="A74" t="str">
            <v>CORPUS CHRISTI, TX</v>
          </cell>
        </row>
        <row r="75">
          <cell r="A75" t="str">
            <v>DALLAS-FORT WORTH, TX</v>
          </cell>
        </row>
        <row r="76">
          <cell r="A76" t="str">
            <v>DALLAS-LOVE FIELD, TX</v>
          </cell>
        </row>
        <row r="77">
          <cell r="A77" t="str">
            <v>DAYTON, OH</v>
          </cell>
        </row>
        <row r="78">
          <cell r="A78" t="str">
            <v>DAYTONA BEACH, FL</v>
          </cell>
        </row>
        <row r="79">
          <cell r="A79" t="str">
            <v>DEL RIO, TX</v>
          </cell>
        </row>
        <row r="80">
          <cell r="A80" t="str">
            <v>DENVER, CO</v>
          </cell>
        </row>
        <row r="81">
          <cell r="A81" t="str">
            <v>DES MOINES, IA</v>
          </cell>
        </row>
        <row r="82">
          <cell r="A82" t="str">
            <v>DETROIT, MI</v>
          </cell>
        </row>
        <row r="83">
          <cell r="A83" t="str">
            <v>DODGE CITY, KS</v>
          </cell>
        </row>
        <row r="84">
          <cell r="A84" t="str">
            <v>DUBUQUE,IA</v>
          </cell>
        </row>
        <row r="85">
          <cell r="A85" t="str">
            <v>DULUTH, MN</v>
          </cell>
        </row>
        <row r="86">
          <cell r="A86" t="str">
            <v>EL PASO, TX</v>
          </cell>
        </row>
        <row r="87">
          <cell r="A87" t="str">
            <v>ELKINS, WV</v>
          </cell>
        </row>
        <row r="88">
          <cell r="A88" t="str">
            <v>ELKO, NV</v>
          </cell>
        </row>
        <row r="89">
          <cell r="A89" t="str">
            <v>ELY, NV</v>
          </cell>
        </row>
        <row r="90">
          <cell r="A90" t="str">
            <v>ERIE, PA.</v>
          </cell>
        </row>
        <row r="91">
          <cell r="A91" t="str">
            <v>EUGENE, OR</v>
          </cell>
        </row>
        <row r="92">
          <cell r="A92" t="str">
            <v>EUREKA, CA.</v>
          </cell>
        </row>
        <row r="93">
          <cell r="A93" t="str">
            <v>EVANSVILLE, IN</v>
          </cell>
        </row>
        <row r="94">
          <cell r="A94" t="str">
            <v>FAIRBANKS, AK</v>
          </cell>
        </row>
        <row r="95">
          <cell r="A95" t="str">
            <v>FARGO, ND</v>
          </cell>
        </row>
        <row r="96">
          <cell r="A96" t="str">
            <v>FLAGSTAFF, AZ</v>
          </cell>
        </row>
        <row r="97">
          <cell r="A97" t="str">
            <v>FLINT, MI</v>
          </cell>
        </row>
        <row r="98">
          <cell r="A98" t="str">
            <v>FORT MYERS, FL</v>
          </cell>
        </row>
        <row r="99">
          <cell r="A99" t="str">
            <v>FORT SMITH, AR</v>
          </cell>
        </row>
        <row r="100">
          <cell r="A100" t="str">
            <v>FORT WAYNE, IN</v>
          </cell>
        </row>
        <row r="101">
          <cell r="A101" t="str">
            <v>FRESNO, CA</v>
          </cell>
        </row>
        <row r="102">
          <cell r="A102" t="str">
            <v>GAINESVILLE, FL</v>
          </cell>
        </row>
        <row r="103">
          <cell r="A103" t="str">
            <v>GALVESTON, TX</v>
          </cell>
        </row>
        <row r="104">
          <cell r="A104" t="str">
            <v>GLASGOW, MT</v>
          </cell>
        </row>
        <row r="105">
          <cell r="A105" t="str">
            <v>GOODLAND, KS</v>
          </cell>
        </row>
        <row r="106">
          <cell r="A106" t="str">
            <v>GRAND FORKS, ND</v>
          </cell>
        </row>
        <row r="107">
          <cell r="A107" t="str">
            <v>GRAND ISLAND, NE</v>
          </cell>
        </row>
        <row r="108">
          <cell r="A108" t="str">
            <v>GRAND JUNCTION, CO</v>
          </cell>
        </row>
        <row r="109">
          <cell r="A109" t="str">
            <v>GRAND RAPIDS, MI</v>
          </cell>
        </row>
        <row r="110">
          <cell r="A110" t="str">
            <v>GREAT FALLS, MT</v>
          </cell>
        </row>
        <row r="111">
          <cell r="A111" t="str">
            <v>GREATER CINCINNATI AP</v>
          </cell>
        </row>
        <row r="112">
          <cell r="A112" t="str">
            <v>GREEN BAY, WI</v>
          </cell>
        </row>
        <row r="113">
          <cell r="A113" t="str">
            <v>GREENSBORO-WNSTN-SALM-HGHPT,NC</v>
          </cell>
        </row>
        <row r="114">
          <cell r="A114" t="str">
            <v>GREENVILLE-SPARTANBURG AP, SC</v>
          </cell>
        </row>
        <row r="115">
          <cell r="A115" t="str">
            <v>GUAM, PC</v>
          </cell>
        </row>
        <row r="116">
          <cell r="A116" t="str">
            <v>GULKANA,AK</v>
          </cell>
        </row>
        <row r="117">
          <cell r="A117" t="str">
            <v>HARRISBURG, PA</v>
          </cell>
        </row>
        <row r="118">
          <cell r="A118" t="str">
            <v>HARTFORD, CT</v>
          </cell>
        </row>
        <row r="119">
          <cell r="A119" t="str">
            <v>HAVRE, MT</v>
          </cell>
        </row>
        <row r="120">
          <cell r="A120" t="str">
            <v>HELENA, MT</v>
          </cell>
        </row>
        <row r="121">
          <cell r="A121" t="str">
            <v>HILO, HI</v>
          </cell>
        </row>
        <row r="122">
          <cell r="A122" t="str">
            <v>HOMER, AK</v>
          </cell>
        </row>
        <row r="123">
          <cell r="A123" t="str">
            <v>HONOLULU,HI</v>
          </cell>
        </row>
        <row r="124">
          <cell r="A124" t="str">
            <v>HOUGHTON LAKE, MI</v>
          </cell>
        </row>
        <row r="125">
          <cell r="A125" t="str">
            <v>HOUSTON, TX</v>
          </cell>
        </row>
        <row r="126">
          <cell r="A126" t="str">
            <v>HUNTINGTON, WV</v>
          </cell>
        </row>
        <row r="127">
          <cell r="A127" t="str">
            <v>HUNTSVILLE, AL</v>
          </cell>
        </row>
        <row r="128">
          <cell r="A128" t="str">
            <v>HURON, SD</v>
          </cell>
        </row>
        <row r="129">
          <cell r="A129" t="str">
            <v>INDIANAPOLIS, IN</v>
          </cell>
        </row>
        <row r="130">
          <cell r="A130" t="str">
            <v>INTERNATIONAL FALLS, MN</v>
          </cell>
        </row>
        <row r="131">
          <cell r="A131" t="str">
            <v>ISLIP, NY</v>
          </cell>
        </row>
        <row r="132">
          <cell r="A132" t="str">
            <v>JACKSON, KY</v>
          </cell>
        </row>
        <row r="133">
          <cell r="A133" t="str">
            <v>JACKSON, MS</v>
          </cell>
        </row>
        <row r="134">
          <cell r="A134" t="str">
            <v>JACKSONVILLE, FL</v>
          </cell>
        </row>
        <row r="135">
          <cell r="A135" t="str">
            <v>JOHNSTON ISLAND, PC</v>
          </cell>
        </row>
        <row r="136">
          <cell r="A136" t="str">
            <v>JUNEAU, AK</v>
          </cell>
        </row>
        <row r="137">
          <cell r="A137" t="str">
            <v>KAHULUI, HI</v>
          </cell>
        </row>
        <row r="138">
          <cell r="A138" t="str">
            <v>KALISPELL, MT</v>
          </cell>
        </row>
        <row r="139">
          <cell r="A139" t="str">
            <v>KANSAS CITY, MO</v>
          </cell>
        </row>
        <row r="140">
          <cell r="A140" t="str">
            <v>KEY WEST, FL</v>
          </cell>
        </row>
        <row r="141">
          <cell r="A141" t="str">
            <v>KING SALMON, AK</v>
          </cell>
        </row>
        <row r="142">
          <cell r="A142" t="str">
            <v>KNOXVILLE, TN</v>
          </cell>
        </row>
        <row r="143">
          <cell r="A143" t="str">
            <v>KODIAK, AK</v>
          </cell>
        </row>
        <row r="144">
          <cell r="A144" t="str">
            <v>KOROR, PC</v>
          </cell>
        </row>
        <row r="145">
          <cell r="A145" t="str">
            <v>KOTZEBUE, AK</v>
          </cell>
        </row>
        <row r="146">
          <cell r="A146" t="str">
            <v>KWAJALEIN, MARSHALL IS., PC</v>
          </cell>
        </row>
        <row r="147">
          <cell r="A147" t="str">
            <v>LA CROSSE, WI</v>
          </cell>
        </row>
        <row r="148">
          <cell r="A148" t="str">
            <v>LAKE CHARLES, LA</v>
          </cell>
        </row>
        <row r="149">
          <cell r="A149" t="str">
            <v>LANDER, WY</v>
          </cell>
        </row>
        <row r="150">
          <cell r="A150" t="str">
            <v>LANSING, MI</v>
          </cell>
        </row>
        <row r="151">
          <cell r="A151" t="str">
            <v>LAS VEGAS, NV</v>
          </cell>
        </row>
        <row r="152">
          <cell r="A152" t="str">
            <v>LEWISTON, ID</v>
          </cell>
        </row>
        <row r="153">
          <cell r="A153" t="str">
            <v>LEXINGTON, KY</v>
          </cell>
        </row>
        <row r="154">
          <cell r="A154" t="str">
            <v>LIHUE, HI</v>
          </cell>
        </row>
        <row r="155">
          <cell r="A155" t="str">
            <v>LINCOLN, NE</v>
          </cell>
        </row>
        <row r="156">
          <cell r="A156" t="str">
            <v>LITTLE ROCK, AR</v>
          </cell>
        </row>
        <row r="157">
          <cell r="A157" t="str">
            <v>LONG BEACH, CA</v>
          </cell>
        </row>
        <row r="158">
          <cell r="A158" t="str">
            <v>LOS ANGELES AP, CA</v>
          </cell>
        </row>
        <row r="159">
          <cell r="A159" t="str">
            <v>LOS ANGELES C.O., CA</v>
          </cell>
        </row>
        <row r="160">
          <cell r="A160" t="str">
            <v>LOUISVILLE, KY</v>
          </cell>
        </row>
        <row r="161">
          <cell r="A161" t="str">
            <v>LUBBOCK, TX</v>
          </cell>
        </row>
        <row r="162">
          <cell r="A162" t="str">
            <v>LYNCHBURG, VA</v>
          </cell>
        </row>
        <row r="163">
          <cell r="A163" t="str">
            <v>MACON, GA</v>
          </cell>
        </row>
        <row r="164">
          <cell r="A164" t="str">
            <v>MADISON, WI</v>
          </cell>
        </row>
        <row r="165">
          <cell r="A165" t="str">
            <v>MAJURO, MARSHALL IS, PC</v>
          </cell>
        </row>
        <row r="166">
          <cell r="A166" t="str">
            <v>MANSFIELD, OH</v>
          </cell>
        </row>
        <row r="167">
          <cell r="A167" t="str">
            <v>MARQUETTE, MI</v>
          </cell>
        </row>
        <row r="168">
          <cell r="A168" t="str">
            <v>MCGRATH, AK</v>
          </cell>
        </row>
        <row r="169">
          <cell r="A169" t="str">
            <v>MEDFORD, OR</v>
          </cell>
        </row>
        <row r="170">
          <cell r="A170" t="str">
            <v>MEMPHIS, TN</v>
          </cell>
        </row>
        <row r="171">
          <cell r="A171" t="str">
            <v>MERIDIAN, MS</v>
          </cell>
        </row>
        <row r="172">
          <cell r="A172" t="str">
            <v>MIAMI, FL</v>
          </cell>
        </row>
        <row r="173">
          <cell r="A173" t="str">
            <v>MIDDLETOWN/HARRISBURG INTL APT</v>
          </cell>
        </row>
        <row r="174">
          <cell r="A174" t="str">
            <v>MIDLAND-ODESSA, TX</v>
          </cell>
        </row>
        <row r="175">
          <cell r="A175" t="str">
            <v>MILFORD, UT</v>
          </cell>
        </row>
        <row r="176">
          <cell r="A176" t="str">
            <v>MILWAUKEE, WI</v>
          </cell>
        </row>
        <row r="177">
          <cell r="A177" t="str">
            <v>MINNEAPOLIS-ST.PAUL, MN</v>
          </cell>
        </row>
        <row r="178">
          <cell r="A178" t="str">
            <v>MISSOULA, MT</v>
          </cell>
        </row>
        <row r="179">
          <cell r="A179" t="str">
            <v>MOBILE, AL</v>
          </cell>
        </row>
        <row r="180">
          <cell r="A180" t="str">
            <v>MOLINE, IL</v>
          </cell>
        </row>
        <row r="181">
          <cell r="A181" t="str">
            <v>MONTGOMERY, AL</v>
          </cell>
        </row>
        <row r="182">
          <cell r="A182" t="str">
            <v>MOUNT SHASTA, CA</v>
          </cell>
        </row>
        <row r="183">
          <cell r="A183" t="str">
            <v>MT. WASHINGTON, NH</v>
          </cell>
        </row>
        <row r="184">
          <cell r="A184" t="str">
            <v>MUSKEGON, MI</v>
          </cell>
        </row>
        <row r="185">
          <cell r="A185" t="str">
            <v>NASHVILLE, TN</v>
          </cell>
        </row>
        <row r="186">
          <cell r="A186" t="str">
            <v>NEW ORLEANS, LA</v>
          </cell>
        </row>
        <row r="187">
          <cell r="A187" t="str">
            <v>NEW YORK (JFK AP), NY</v>
          </cell>
        </row>
        <row r="188">
          <cell r="A188" t="str">
            <v>NEW YORK (LAGUARDIA AP), NY</v>
          </cell>
        </row>
        <row r="189">
          <cell r="A189" t="str">
            <v>NEW YORK C.PARK, NY</v>
          </cell>
        </row>
        <row r="190">
          <cell r="A190" t="str">
            <v>NEWARK, NJ</v>
          </cell>
        </row>
        <row r="191">
          <cell r="A191" t="str">
            <v>NOME, AK</v>
          </cell>
        </row>
        <row r="192">
          <cell r="A192" t="str">
            <v>NORFOLK, NE</v>
          </cell>
        </row>
        <row r="193">
          <cell r="A193" t="str">
            <v>NORFOLK, VA</v>
          </cell>
        </row>
        <row r="194">
          <cell r="A194" t="str">
            <v>NORTH LITTLE ROCK, AR</v>
          </cell>
        </row>
        <row r="195">
          <cell r="A195" t="str">
            <v>NORTH PLATTE, NE</v>
          </cell>
        </row>
        <row r="196">
          <cell r="A196" t="str">
            <v>OAK RIDGE,TN</v>
          </cell>
        </row>
        <row r="197">
          <cell r="A197" t="str">
            <v>OKLAHOMA CITY, OK</v>
          </cell>
        </row>
        <row r="198">
          <cell r="A198" t="str">
            <v>OLYMPIA, WA</v>
          </cell>
        </row>
        <row r="199">
          <cell r="A199" t="str">
            <v>OMAHA (NORTH), NE</v>
          </cell>
        </row>
        <row r="200">
          <cell r="A200" t="str">
            <v>OMAHA EPPLEY AP, NE</v>
          </cell>
        </row>
        <row r="201">
          <cell r="A201" t="str">
            <v>ORLANDO, FL</v>
          </cell>
        </row>
        <row r="202">
          <cell r="A202" t="str">
            <v>PADUCAH KY</v>
          </cell>
        </row>
        <row r="203">
          <cell r="A203" t="str">
            <v>PAGO PAGO, AMER SAMOA, PC</v>
          </cell>
        </row>
        <row r="204">
          <cell r="A204" t="str">
            <v>PENDLETON, OR</v>
          </cell>
        </row>
        <row r="205">
          <cell r="A205" t="str">
            <v>PENSACOLA, FL</v>
          </cell>
        </row>
        <row r="206">
          <cell r="A206" t="str">
            <v>PEORIA, IL</v>
          </cell>
        </row>
        <row r="207">
          <cell r="A207" t="str">
            <v>PHILADELPHIA, PA</v>
          </cell>
        </row>
        <row r="208">
          <cell r="A208" t="str">
            <v>PHOENIX, AZ</v>
          </cell>
        </row>
        <row r="209">
          <cell r="A209" t="str">
            <v>PITTSBURGH, PA</v>
          </cell>
        </row>
        <row r="210">
          <cell r="A210" t="str">
            <v>POCATELLO, ID</v>
          </cell>
        </row>
        <row r="211">
          <cell r="A211" t="str">
            <v>POHNPEI, CAROLINE IS., PC</v>
          </cell>
        </row>
        <row r="212">
          <cell r="A212" t="str">
            <v>PORT ARTHUR, TX</v>
          </cell>
        </row>
        <row r="213">
          <cell r="A213" t="str">
            <v>PORTLAND, ME</v>
          </cell>
        </row>
        <row r="214">
          <cell r="A214" t="str">
            <v>PORTLAND, OR</v>
          </cell>
        </row>
        <row r="215">
          <cell r="A215" t="str">
            <v>PROVIDENCE, RI</v>
          </cell>
        </row>
        <row r="216">
          <cell r="A216" t="str">
            <v>PUEBLO, CO</v>
          </cell>
        </row>
        <row r="217">
          <cell r="A217" t="str">
            <v>QUILLAYUTE, WA</v>
          </cell>
        </row>
        <row r="218">
          <cell r="A218" t="str">
            <v>RALEIGH, NC</v>
          </cell>
        </row>
        <row r="219">
          <cell r="A219" t="str">
            <v>RAPID CITY, SD</v>
          </cell>
        </row>
        <row r="220">
          <cell r="A220" t="str">
            <v>REDDING, CA</v>
          </cell>
        </row>
        <row r="221">
          <cell r="A221" t="str">
            <v>RENO, NV</v>
          </cell>
        </row>
        <row r="222">
          <cell r="A222" t="str">
            <v>RICHMOND, VA</v>
          </cell>
        </row>
        <row r="223">
          <cell r="A223" t="str">
            <v>ROANOKE, VA</v>
          </cell>
        </row>
        <row r="224">
          <cell r="A224" t="str">
            <v>ROCHESTER, MN</v>
          </cell>
        </row>
        <row r="225">
          <cell r="A225" t="str">
            <v>ROCHESTER, NY</v>
          </cell>
        </row>
        <row r="226">
          <cell r="A226" t="str">
            <v>ROCKFORD, IL</v>
          </cell>
        </row>
        <row r="227">
          <cell r="A227" t="str">
            <v>ROSWELL, NM</v>
          </cell>
        </row>
        <row r="228">
          <cell r="A228" t="str">
            <v>SACRAMENTO, CA</v>
          </cell>
        </row>
        <row r="229">
          <cell r="A229" t="str">
            <v>SAINT CLOUD, MN</v>
          </cell>
        </row>
        <row r="230">
          <cell r="A230" t="str">
            <v>SALEM, OR</v>
          </cell>
        </row>
        <row r="231">
          <cell r="A231" t="str">
            <v>SALT LAKE CITY, UT</v>
          </cell>
        </row>
        <row r="232">
          <cell r="A232" t="str">
            <v>SAN ANGELO, TX</v>
          </cell>
        </row>
        <row r="233">
          <cell r="A233" t="str">
            <v>SAN ANTONIO, TX</v>
          </cell>
        </row>
        <row r="234">
          <cell r="A234" t="str">
            <v>SAN DIEGO, CA</v>
          </cell>
        </row>
        <row r="235">
          <cell r="A235" t="str">
            <v>SAN FRANCISCO AP, CA</v>
          </cell>
        </row>
        <row r="236">
          <cell r="A236" t="str">
            <v>SAN FRANCISCO C.O., CA</v>
          </cell>
        </row>
        <row r="237">
          <cell r="A237" t="str">
            <v>SAN JUAN, PR</v>
          </cell>
        </row>
        <row r="238">
          <cell r="A238" t="str">
            <v>SANTA BARBARA, CA</v>
          </cell>
        </row>
        <row r="239">
          <cell r="A239" t="str">
            <v>SANTA MARIA, CA</v>
          </cell>
        </row>
        <row r="240">
          <cell r="A240" t="str">
            <v>SAULT STE. MARIE, MI</v>
          </cell>
        </row>
        <row r="241">
          <cell r="A241" t="str">
            <v>SAVANNAH, GA</v>
          </cell>
        </row>
        <row r="242">
          <cell r="A242" t="str">
            <v>SCOTTSBLUFF, NE</v>
          </cell>
        </row>
        <row r="243">
          <cell r="A243" t="str">
            <v>SEATTLE C.O., WA</v>
          </cell>
        </row>
        <row r="244">
          <cell r="A244" t="str">
            <v>SEATTLE SEA-TAC AP, WA</v>
          </cell>
        </row>
        <row r="245">
          <cell r="A245" t="str">
            <v>SEXTON SUMMIT, OR</v>
          </cell>
        </row>
        <row r="246">
          <cell r="A246" t="str">
            <v>SHERIDAN, WY</v>
          </cell>
        </row>
        <row r="247">
          <cell r="A247" t="str">
            <v>SHREVEPORT, LA</v>
          </cell>
        </row>
        <row r="248">
          <cell r="A248" t="str">
            <v>SIOUX CITY, IA</v>
          </cell>
        </row>
        <row r="249">
          <cell r="A249" t="str">
            <v>SIOUX FALLS, SD</v>
          </cell>
        </row>
        <row r="250">
          <cell r="A250" t="str">
            <v>SOUTH BEND, IN</v>
          </cell>
        </row>
        <row r="251">
          <cell r="A251" t="str">
            <v>SPOKANE, WA</v>
          </cell>
        </row>
        <row r="252">
          <cell r="A252" t="str">
            <v>SPRINGFIELD, IL</v>
          </cell>
        </row>
        <row r="253">
          <cell r="A253" t="str">
            <v>SPRINGFIELD, MO</v>
          </cell>
        </row>
        <row r="254">
          <cell r="A254" t="str">
            <v>ST. LOUIS, MO</v>
          </cell>
        </row>
        <row r="255">
          <cell r="A255" t="str">
            <v>ST. PAUL ISLAND, AK</v>
          </cell>
        </row>
        <row r="256">
          <cell r="A256" t="str">
            <v>STOCKTON, CA</v>
          </cell>
        </row>
        <row r="257">
          <cell r="A257" t="str">
            <v>SYRACUSE, NY</v>
          </cell>
        </row>
        <row r="258">
          <cell r="A258" t="str">
            <v>TALKEETNA, AK</v>
          </cell>
        </row>
        <row r="259">
          <cell r="A259" t="str">
            <v>TALLAHASSEE, FL</v>
          </cell>
        </row>
        <row r="260">
          <cell r="A260" t="str">
            <v>TAMPA, FL</v>
          </cell>
        </row>
        <row r="261">
          <cell r="A261" t="str">
            <v>TOLEDO, OH</v>
          </cell>
        </row>
        <row r="262">
          <cell r="A262" t="str">
            <v>TOPEKA, KS</v>
          </cell>
        </row>
        <row r="263">
          <cell r="A263" t="str">
            <v>TUCSON, AZ</v>
          </cell>
        </row>
        <row r="264">
          <cell r="A264" t="str">
            <v>TULSA, OK</v>
          </cell>
        </row>
        <row r="265">
          <cell r="A265" t="str">
            <v>TUPELO, MS</v>
          </cell>
        </row>
        <row r="266">
          <cell r="A266" t="str">
            <v>UNALAKLEET, AK</v>
          </cell>
        </row>
        <row r="267">
          <cell r="A267" t="str">
            <v>VALDEZ, AK</v>
          </cell>
        </row>
        <row r="268">
          <cell r="A268" t="str">
            <v>VALENTINE, NE</v>
          </cell>
        </row>
        <row r="269">
          <cell r="A269" t="str">
            <v>VERO BEACH, FL</v>
          </cell>
        </row>
        <row r="270">
          <cell r="A270" t="str">
            <v>VICTORIA, TX</v>
          </cell>
        </row>
        <row r="271">
          <cell r="A271" t="str">
            <v>WACO, TX</v>
          </cell>
        </row>
        <row r="272">
          <cell r="A272" t="str">
            <v>WAKE ISLAND, PC</v>
          </cell>
        </row>
        <row r="273">
          <cell r="A273" t="str">
            <v>WALLA WALLA WASHINGTON</v>
          </cell>
        </row>
        <row r="274">
          <cell r="A274" t="str">
            <v>WASHINGTON DULLES AP, D.C.</v>
          </cell>
        </row>
        <row r="275">
          <cell r="A275" t="str">
            <v>WASHINGTON NAT'L AP, D.C.</v>
          </cell>
        </row>
        <row r="276">
          <cell r="A276" t="str">
            <v>WATERLOO, IA</v>
          </cell>
        </row>
        <row r="277">
          <cell r="A277" t="str">
            <v>WEST PALM BEACH, FL</v>
          </cell>
        </row>
        <row r="278">
          <cell r="A278" t="str">
            <v>WICHITA FALLS, TX</v>
          </cell>
        </row>
        <row r="279">
          <cell r="A279" t="str">
            <v>WICHITA, KS</v>
          </cell>
        </row>
        <row r="280">
          <cell r="A280" t="str">
            <v>WILLIAMSPORT, PA</v>
          </cell>
        </row>
        <row r="281">
          <cell r="A281" t="str">
            <v>WILLISTON, ND</v>
          </cell>
        </row>
        <row r="282">
          <cell r="A282" t="str">
            <v>WILMINGTON, DE</v>
          </cell>
        </row>
        <row r="283">
          <cell r="A283" t="str">
            <v>WILMINGTON, NC</v>
          </cell>
        </row>
        <row r="284">
          <cell r="A284" t="str">
            <v>WINNEMUCCA, NV</v>
          </cell>
        </row>
        <row r="285">
          <cell r="A285" t="str">
            <v>WINSLOW, AZ</v>
          </cell>
        </row>
        <row r="286">
          <cell r="A286" t="str">
            <v>WORCESTER, MA</v>
          </cell>
        </row>
        <row r="287">
          <cell r="A287" t="str">
            <v>YAKIMA, WA</v>
          </cell>
        </row>
        <row r="288">
          <cell r="A288" t="str">
            <v>YAKUTAT, AK</v>
          </cell>
        </row>
        <row r="289">
          <cell r="A289" t="str">
            <v>YAP, W CAROLINE IS., PC</v>
          </cell>
        </row>
        <row r="290">
          <cell r="A290" t="str">
            <v>YOUNGSTOWN, OH</v>
          </cell>
        </row>
        <row r="291">
          <cell r="A291" t="str">
            <v>YUMA, AZ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24" displayName="Tabla24" ref="B17:D28" totalsRowShown="0" headerRowDxfId="47" dataDxfId="46">
  <autoFilter ref="B17:D28" xr:uid="{00000000-0009-0000-0100-000003000000}"/>
  <tableColumns count="3">
    <tableColumn id="1" xr3:uid="{00000000-0010-0000-0000-000001000000}" name="X " dataDxfId="45"/>
    <tableColumn id="2" xr3:uid="{00000000-0010-0000-0000-000002000000}" name="Y" dataDxfId="44">
      <calculatedColumnFormula>Tabla24[[#This Row],[X ]]^2</calculatedColumnFormula>
    </tableColumn>
    <tableColumn id="3" xr3:uid="{00000000-0010-0000-0000-000003000000}" name="Z" dataDxfId="43">
      <calculatedColumnFormula>Tabla24[[#This Row],[X ]]^2+100*Tabla24[[#This Row],[X ]]+1000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B17:D28" totalsRowShown="0">
  <autoFilter ref="B17:D28" xr:uid="{00000000-0009-0000-0100-000002000000}"/>
  <tableColumns count="3">
    <tableColumn id="1" xr3:uid="{00000000-0010-0000-0100-000001000000}" name="X " dataDxfId="42"/>
    <tableColumn id="2" xr3:uid="{00000000-0010-0000-0100-000002000000}" name="Y" dataDxfId="41">
      <calculatedColumnFormula>Tabla2[[#This Row],[X ]]^2</calculatedColumnFormula>
    </tableColumn>
    <tableColumn id="3" xr3:uid="{00000000-0010-0000-0100-000003000000}" name="Z" dataDxfId="40">
      <calculatedColumnFormula>Tabla2[[#This Row],[X ]]^2+100*Tabla2[[#This Row],[X ]]+1000</calculatedColumnFormula>
    </tableColumn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47" displayName="Table47" ref="C13:F19" totalsRowShown="0" headerRowDxfId="39" dataDxfId="38">
  <autoFilter ref="C13:F19" xr:uid="{00000000-0009-0000-0100-000006000000}"/>
  <tableColumns count="4">
    <tableColumn id="1" xr3:uid="{00000000-0010-0000-0200-000001000000}" name="Month" dataDxfId="37"/>
    <tableColumn id="2" xr3:uid="{00000000-0010-0000-0200-000002000000}" name="Desktops" dataDxfId="36"/>
    <tableColumn id="3" xr3:uid="{00000000-0010-0000-0200-000003000000}" name="Laptops" dataDxfId="35"/>
    <tableColumn id="4" xr3:uid="{00000000-0010-0000-0200-000004000000}" name="Tablets" dataDxfId="3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C13:F19" totalsRowShown="0" headerRowDxfId="33" dataDxfId="32">
  <autoFilter ref="C13:F19" xr:uid="{00000000-0009-0000-0100-000004000000}"/>
  <tableColumns count="4">
    <tableColumn id="1" xr3:uid="{00000000-0010-0000-0300-000001000000}" name="Month" dataDxfId="31"/>
    <tableColumn id="2" xr3:uid="{00000000-0010-0000-0300-000002000000}" name="Desktops" dataDxfId="30"/>
    <tableColumn id="3" xr3:uid="{00000000-0010-0000-0300-000003000000}" name="Laptops" dataDxfId="29"/>
    <tableColumn id="4" xr3:uid="{00000000-0010-0000-0300-000004000000}" name="Tablets" dataDxfId="28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e79" displayName="Table79" ref="C14:E20" totalsRowShown="0" headerRowDxfId="27" dataDxfId="26">
  <autoFilter ref="C14:E20" xr:uid="{00000000-0009-0000-0100-000008000000}"/>
  <tableColumns count="3">
    <tableColumn id="1" xr3:uid="{00000000-0010-0000-0400-000001000000}" name="Month" dataDxfId="25"/>
    <tableColumn id="2" xr3:uid="{00000000-0010-0000-0400-000002000000}" name="Sales" dataDxfId="24"/>
    <tableColumn id="3" xr3:uid="{00000000-0010-0000-0400-000003000000}" name="Expenses" dataDxf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C14:E20" totalsRowShown="0" headerRowDxfId="22" dataDxfId="21">
  <autoFilter ref="C14:E20" xr:uid="{00000000-0009-0000-0100-000007000000}"/>
  <tableColumns count="3">
    <tableColumn id="1" xr3:uid="{00000000-0010-0000-0500-000001000000}" name="Month" dataDxfId="20"/>
    <tableColumn id="2" xr3:uid="{00000000-0010-0000-0500-000002000000}" name="Sales" dataDxfId="19"/>
    <tableColumn id="3" xr3:uid="{00000000-0010-0000-0500-000003000000}" name="Expenses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911" displayName="Table911" ref="C14:E18" totalsRowShown="0" headerRowDxfId="17" dataDxfId="16">
  <autoFilter ref="C14:E18" xr:uid="{00000000-0009-0000-0100-00000A000000}"/>
  <tableColumns count="3">
    <tableColumn id="1" xr3:uid="{00000000-0010-0000-0600-000001000000}" name="Product" dataDxfId="15"/>
    <tableColumn id="2" xr3:uid="{00000000-0010-0000-0600-000002000000}" name="Restock Time" dataDxfId="14"/>
    <tableColumn id="3" xr3:uid="{00000000-0010-0000-0600-000003000000}" name="Shelf Life" dataDxfId="13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9" displayName="Table9" ref="C14:E18" totalsRowShown="0" headerRowDxfId="12" dataDxfId="11">
  <autoFilter ref="C14:E18" xr:uid="{00000000-0009-0000-0100-000009000000}"/>
  <tableColumns count="3">
    <tableColumn id="1" xr3:uid="{00000000-0010-0000-0700-000001000000}" name="Product" dataDxfId="10"/>
    <tableColumn id="2" xr3:uid="{00000000-0010-0000-0700-000002000000}" name="Restock Time" dataDxfId="9"/>
    <tableColumn id="3" xr3:uid="{00000000-0010-0000-0700-000003000000}" name="Shelf Life" dataDxfId="8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able1113" displayName="Table1113" ref="C15:D19" totalsRowShown="0" headerRowDxfId="7" dataDxfId="6">
  <autoFilter ref="C15:D19" xr:uid="{00000000-0009-0000-0100-00000C000000}"/>
  <tableColumns count="2">
    <tableColumn id="1" xr3:uid="{00000000-0010-0000-0800-000001000000}" name="Division" dataDxfId="5"/>
    <tableColumn id="2" xr3:uid="{00000000-0010-0000-0800-000002000000}" name="Sales" dataDxfId="4"/>
  </tableColumns>
  <tableStyleInfo name="TableStyleMedium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able11" displayName="Table11" ref="C15:D19" totalsRowShown="0" headerRowDxfId="3" dataDxfId="2">
  <autoFilter ref="C15:D19" xr:uid="{00000000-0009-0000-0100-00000B000000}"/>
  <tableColumns count="2">
    <tableColumn id="1" xr3:uid="{00000000-0010-0000-0900-000001000000}" name="Division" dataDxfId="1"/>
    <tableColumn id="2" xr3:uid="{00000000-0010-0000-0900-000002000000}" name="Sales" dataDxfId="0"/>
  </tableColumns>
  <tableStyleInfo name="TableStyleMedium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a114" displayName="Tabla114" ref="C16:E28" totalsRowShown="0">
  <autoFilter ref="C16:E28" xr:uid="{00000000-0009-0000-0100-00000D000000}"/>
  <tableColumns count="3">
    <tableColumn id="1" xr3:uid="{00000000-0010-0000-0A00-000001000000}" name="Month"/>
    <tableColumn id="2" xr3:uid="{00000000-0010-0000-0A00-000002000000}" name="Quantity"/>
    <tableColumn id="3" xr3:uid="{00000000-0010-0000-0A00-000003000000}" name="Cost"/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B000000}" name="Tabla1" displayName="Tabla1" ref="C16:E28" totalsRowShown="0">
  <autoFilter ref="C16:E28" xr:uid="{00000000-0009-0000-0100-000001000000}"/>
  <tableColumns count="3">
    <tableColumn id="1" xr3:uid="{00000000-0010-0000-0B00-000001000000}" name="Month"/>
    <tableColumn id="2" xr3:uid="{00000000-0010-0000-0B00-000002000000}" name="Quantity"/>
    <tableColumn id="3" xr3:uid="{00000000-0010-0000-0B00-000003000000}" name="Cos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B3:B27"/>
  <sheetViews>
    <sheetView showGridLines="0" workbookViewId="0">
      <selection activeCell="C26" sqref="C26"/>
    </sheetView>
  </sheetViews>
  <sheetFormatPr defaultColWidth="9" defaultRowHeight="14.5" x14ac:dyDescent="0.35"/>
  <cols>
    <col min="1" max="1" width="13.453125" customWidth="1"/>
    <col min="2" max="2" width="57.81640625" style="6" customWidth="1"/>
    <col min="3" max="3" width="10" customWidth="1"/>
    <col min="4" max="4" width="9.453125" customWidth="1"/>
  </cols>
  <sheetData>
    <row r="3" spans="2:2" ht="26" x14ac:dyDescent="0.6">
      <c r="B3" s="4" t="s">
        <v>24</v>
      </c>
    </row>
    <row r="14" spans="2:2" ht="21" x14ac:dyDescent="0.5">
      <c r="B14" s="5"/>
    </row>
    <row r="15" spans="2:2" ht="21" x14ac:dyDescent="0.5">
      <c r="B15" s="5" t="s">
        <v>41</v>
      </c>
    </row>
    <row r="16" spans="2:2" ht="21" x14ac:dyDescent="0.5">
      <c r="B16" s="5" t="s">
        <v>40</v>
      </c>
    </row>
    <row r="17" spans="2:2" ht="21" x14ac:dyDescent="0.5">
      <c r="B17" s="5" t="s">
        <v>42</v>
      </c>
    </row>
    <row r="18" spans="2:2" ht="21" x14ac:dyDescent="0.5">
      <c r="B18" s="5" t="s">
        <v>39</v>
      </c>
    </row>
    <row r="19" spans="2:2" ht="21" x14ac:dyDescent="0.5">
      <c r="B19" s="5" t="s">
        <v>57</v>
      </c>
    </row>
    <row r="20" spans="2:2" ht="21" x14ac:dyDescent="0.5">
      <c r="B20" s="5" t="s">
        <v>43</v>
      </c>
    </row>
    <row r="21" spans="2:2" ht="21" x14ac:dyDescent="0.5">
      <c r="B21" s="5" t="s">
        <v>38</v>
      </c>
    </row>
    <row r="22" spans="2:2" ht="21" x14ac:dyDescent="0.5">
      <c r="B22" s="5"/>
    </row>
    <row r="24" spans="2:2" ht="21" x14ac:dyDescent="0.5">
      <c r="B24" s="5"/>
    </row>
    <row r="25" spans="2:2" ht="21" x14ac:dyDescent="0.5">
      <c r="B25" s="5"/>
    </row>
    <row r="26" spans="2:2" ht="21" x14ac:dyDescent="0.5">
      <c r="B26" s="5"/>
    </row>
    <row r="27" spans="2:2" ht="21" x14ac:dyDescent="0.5">
      <c r="B27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66E4-645D-4BF1-A86C-A366F9C03561}">
  <dimension ref="C5:H11"/>
  <sheetViews>
    <sheetView showGridLines="0" zoomScale="190" zoomScaleNormal="190" workbookViewId="0">
      <selection activeCell="C26" sqref="C26"/>
    </sheetView>
  </sheetViews>
  <sheetFormatPr defaultColWidth="10.90625" defaultRowHeight="14.5" x14ac:dyDescent="0.35"/>
  <sheetData>
    <row r="5" spans="3:8" ht="15" thickBot="1" x14ac:dyDescent="0.4">
      <c r="C5" s="21" t="s">
        <v>15</v>
      </c>
      <c r="D5" s="22" t="s">
        <v>14</v>
      </c>
      <c r="E5" s="22" t="s">
        <v>37</v>
      </c>
      <c r="F5" s="22" t="s">
        <v>59</v>
      </c>
      <c r="G5" s="22" t="s">
        <v>60</v>
      </c>
      <c r="H5" s="6"/>
    </row>
    <row r="6" spans="3:8" x14ac:dyDescent="0.35">
      <c r="C6" s="23" t="s">
        <v>12</v>
      </c>
      <c r="D6" s="6">
        <v>10</v>
      </c>
      <c r="E6" s="6">
        <v>6</v>
      </c>
      <c r="F6" s="6">
        <v>4</v>
      </c>
      <c r="G6" s="24">
        <v>0.66669999999999996</v>
      </c>
    </row>
    <row r="7" spans="3:8" x14ac:dyDescent="0.35">
      <c r="C7" s="23" t="s">
        <v>11</v>
      </c>
      <c r="D7" s="6">
        <v>20</v>
      </c>
      <c r="E7" s="6">
        <v>15</v>
      </c>
      <c r="F7" s="6">
        <v>5</v>
      </c>
      <c r="G7" s="24">
        <v>0.33329999999999999</v>
      </c>
    </row>
    <row r="8" spans="3:8" x14ac:dyDescent="0.35">
      <c r="C8" s="23" t="s">
        <v>10</v>
      </c>
      <c r="D8" s="6">
        <v>30</v>
      </c>
      <c r="E8" s="6">
        <v>24</v>
      </c>
      <c r="F8" s="6">
        <v>6</v>
      </c>
      <c r="G8" s="24">
        <v>0.25</v>
      </c>
    </row>
    <row r="9" spans="3:8" x14ac:dyDescent="0.35">
      <c r="C9" s="23" t="s">
        <v>9</v>
      </c>
      <c r="D9" s="6">
        <v>40</v>
      </c>
      <c r="E9" s="6">
        <v>33</v>
      </c>
      <c r="F9" s="6">
        <v>7</v>
      </c>
      <c r="G9" s="24">
        <v>0.21210000000000001</v>
      </c>
    </row>
    <row r="10" spans="3:8" x14ac:dyDescent="0.35">
      <c r="C10" s="23" t="s">
        <v>8</v>
      </c>
      <c r="D10" s="6">
        <v>50</v>
      </c>
      <c r="E10" s="6">
        <v>42</v>
      </c>
      <c r="F10" s="6">
        <v>8</v>
      </c>
      <c r="G10" s="24">
        <v>0.1905</v>
      </c>
    </row>
    <row r="11" spans="3:8" x14ac:dyDescent="0.35">
      <c r="C11" s="23" t="s">
        <v>7</v>
      </c>
      <c r="D11" s="6">
        <v>60</v>
      </c>
      <c r="E11" s="6">
        <v>51</v>
      </c>
      <c r="F11" s="6">
        <v>9</v>
      </c>
      <c r="G11" s="24">
        <v>0.17649999999999999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28"/>
  <sheetViews>
    <sheetView topLeftCell="A5" zoomScale="70" zoomScaleNormal="70" workbookViewId="0">
      <selection activeCell="K16" sqref="K16"/>
    </sheetView>
  </sheetViews>
  <sheetFormatPr defaultColWidth="11.453125" defaultRowHeight="14.5" x14ac:dyDescent="0.35"/>
  <cols>
    <col min="2" max="2" width="14.54296875" customWidth="1"/>
  </cols>
  <sheetData>
    <row r="3" spans="2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2:15" ht="8.25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2:15" ht="89.25" customHeight="1" x14ac:dyDescent="0.35">
      <c r="B5" s="13" t="s">
        <v>48</v>
      </c>
      <c r="C5" s="25" t="s">
        <v>50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8.5" x14ac:dyDescent="0.45">
      <c r="B6" s="10"/>
      <c r="J6" s="11"/>
      <c r="K6" s="12"/>
    </row>
    <row r="7" spans="2:15" ht="75.7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7" spans="2:4" x14ac:dyDescent="0.35">
      <c r="B17" s="6" t="s">
        <v>44</v>
      </c>
      <c r="C17" s="6" t="s">
        <v>45</v>
      </c>
      <c r="D17" s="6" t="s">
        <v>46</v>
      </c>
    </row>
    <row r="18" spans="2:4" x14ac:dyDescent="0.35">
      <c r="B18" s="6">
        <v>1</v>
      </c>
      <c r="C18" s="6">
        <f>Tabla24[[#This Row],[X ]]^2</f>
        <v>1</v>
      </c>
      <c r="D18" s="6">
        <f>Tabla24[[#This Row],[X ]]^2+100*Tabla24[[#This Row],[X ]]+1000</f>
        <v>1101</v>
      </c>
    </row>
    <row r="19" spans="2:4" x14ac:dyDescent="0.35">
      <c r="B19" s="6">
        <v>10</v>
      </c>
      <c r="C19" s="6">
        <f>Tabla24[[#This Row],[X ]]^2</f>
        <v>100</v>
      </c>
      <c r="D19" s="6">
        <f>Tabla24[[#This Row],[X ]]^2+100*Tabla24[[#This Row],[X ]]+1000</f>
        <v>2100</v>
      </c>
    </row>
    <row r="20" spans="2:4" x14ac:dyDescent="0.35">
      <c r="B20" s="6">
        <v>19</v>
      </c>
      <c r="C20" s="6">
        <f>Tabla24[[#This Row],[X ]]^2</f>
        <v>361</v>
      </c>
      <c r="D20" s="6">
        <f>Tabla24[[#This Row],[X ]]^2+100*Tabla24[[#This Row],[X ]]+1000</f>
        <v>3261</v>
      </c>
    </row>
    <row r="21" spans="2:4" x14ac:dyDescent="0.35">
      <c r="B21" s="6">
        <v>28</v>
      </c>
      <c r="C21" s="6">
        <f>Tabla24[[#This Row],[X ]]^2</f>
        <v>784</v>
      </c>
      <c r="D21" s="6">
        <f>Tabla24[[#This Row],[X ]]^2+100*Tabla24[[#This Row],[X ]]+1000</f>
        <v>4584</v>
      </c>
    </row>
    <row r="22" spans="2:4" x14ac:dyDescent="0.35">
      <c r="B22" s="6">
        <v>37</v>
      </c>
      <c r="C22" s="6">
        <f>Tabla24[[#This Row],[X ]]^2</f>
        <v>1369</v>
      </c>
      <c r="D22" s="6">
        <f>Tabla24[[#This Row],[X ]]^2+100*Tabla24[[#This Row],[X ]]+1000</f>
        <v>6069</v>
      </c>
    </row>
    <row r="23" spans="2:4" x14ac:dyDescent="0.35">
      <c r="B23" s="6">
        <v>46</v>
      </c>
      <c r="C23" s="6">
        <f>Tabla24[[#This Row],[X ]]^2</f>
        <v>2116</v>
      </c>
      <c r="D23" s="6">
        <f>Tabla24[[#This Row],[X ]]^2+100*Tabla24[[#This Row],[X ]]+1000</f>
        <v>7716</v>
      </c>
    </row>
    <row r="24" spans="2:4" x14ac:dyDescent="0.35">
      <c r="B24" s="6">
        <v>55</v>
      </c>
      <c r="C24" s="6">
        <f>Tabla24[[#This Row],[X ]]^2</f>
        <v>3025</v>
      </c>
      <c r="D24" s="6">
        <f>Tabla24[[#This Row],[X ]]^2+100*Tabla24[[#This Row],[X ]]+1000</f>
        <v>9525</v>
      </c>
    </row>
    <row r="25" spans="2:4" x14ac:dyDescent="0.35">
      <c r="B25" s="6">
        <v>64</v>
      </c>
      <c r="C25" s="6">
        <f>Tabla24[[#This Row],[X ]]^2</f>
        <v>4096</v>
      </c>
      <c r="D25" s="6">
        <f>Tabla24[[#This Row],[X ]]^2+100*Tabla24[[#This Row],[X ]]+1000</f>
        <v>11496</v>
      </c>
    </row>
    <row r="26" spans="2:4" x14ac:dyDescent="0.35">
      <c r="B26" s="6">
        <v>73</v>
      </c>
      <c r="C26" s="6">
        <f>Tabla24[[#This Row],[X ]]^2</f>
        <v>5329</v>
      </c>
      <c r="D26" s="6">
        <f>Tabla24[[#This Row],[X ]]^2+100*Tabla24[[#This Row],[X ]]+1000</f>
        <v>13629</v>
      </c>
    </row>
    <row r="27" spans="2:4" x14ac:dyDescent="0.35">
      <c r="B27" s="6">
        <v>82</v>
      </c>
      <c r="C27" s="6">
        <f>Tabla24[[#This Row],[X ]]^2</f>
        <v>6724</v>
      </c>
      <c r="D27" s="6">
        <f>Tabla24[[#This Row],[X ]]^2+100*Tabla24[[#This Row],[X ]]+1000</f>
        <v>15924</v>
      </c>
    </row>
    <row r="28" spans="2:4" x14ac:dyDescent="0.35">
      <c r="B28" s="6">
        <v>91</v>
      </c>
      <c r="C28" s="6">
        <f>Tabla24[[#This Row],[X ]]^2</f>
        <v>8281</v>
      </c>
      <c r="D28" s="6">
        <f>Tabla24[[#This Row],[X ]]^2+100*Tabla24[[#This Row],[X ]]+1000</f>
        <v>18381</v>
      </c>
    </row>
  </sheetData>
  <mergeCells count="3">
    <mergeCell ref="C5:O5"/>
    <mergeCell ref="B7:B8"/>
    <mergeCell ref="C7:O8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O28"/>
  <sheetViews>
    <sheetView zoomScaleNormal="100" workbookViewId="0">
      <selection activeCell="B3" sqref="B3:O8"/>
    </sheetView>
  </sheetViews>
  <sheetFormatPr defaultColWidth="11.453125" defaultRowHeight="14.5" x14ac:dyDescent="0.35"/>
  <cols>
    <col min="2" max="2" width="14.54296875" bestFit="1" customWidth="1"/>
  </cols>
  <sheetData>
    <row r="3" spans="2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2:15" ht="8.25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2:15" ht="89.25" customHeight="1" x14ac:dyDescent="0.35">
      <c r="B5" s="13" t="s">
        <v>48</v>
      </c>
      <c r="C5" s="25" t="s">
        <v>50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8.5" x14ac:dyDescent="0.45">
      <c r="B6" s="10"/>
      <c r="J6" s="11"/>
      <c r="K6" s="12"/>
    </row>
    <row r="7" spans="2:15" ht="75.7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7" spans="2:4" x14ac:dyDescent="0.35">
      <c r="B17" s="6" t="s">
        <v>44</v>
      </c>
      <c r="C17" s="6" t="s">
        <v>45</v>
      </c>
      <c r="D17" s="6" t="s">
        <v>46</v>
      </c>
    </row>
    <row r="18" spans="2:4" x14ac:dyDescent="0.35">
      <c r="B18" s="6">
        <v>1</v>
      </c>
      <c r="C18" s="6">
        <f>Tabla2[[#This Row],[X ]]^2</f>
        <v>1</v>
      </c>
      <c r="D18" s="6">
        <f>Tabla2[[#This Row],[X ]]^2+100*Tabla2[[#This Row],[X ]]+1000</f>
        <v>1101</v>
      </c>
    </row>
    <row r="19" spans="2:4" x14ac:dyDescent="0.35">
      <c r="B19" s="6">
        <v>10</v>
      </c>
      <c r="C19" s="6">
        <f>Tabla2[[#This Row],[X ]]^2</f>
        <v>100</v>
      </c>
      <c r="D19" s="6">
        <f>Tabla2[[#This Row],[X ]]^2+100*Tabla2[[#This Row],[X ]]+1000</f>
        <v>2100</v>
      </c>
    </row>
    <row r="20" spans="2:4" x14ac:dyDescent="0.35">
      <c r="B20" s="6">
        <v>19</v>
      </c>
      <c r="C20" s="6">
        <f>Tabla2[[#This Row],[X ]]^2</f>
        <v>361</v>
      </c>
      <c r="D20" s="6">
        <f>Tabla2[[#This Row],[X ]]^2+100*Tabla2[[#This Row],[X ]]+1000</f>
        <v>3261</v>
      </c>
    </row>
    <row r="21" spans="2:4" x14ac:dyDescent="0.35">
      <c r="B21" s="6">
        <v>28</v>
      </c>
      <c r="C21" s="6">
        <f>Tabla2[[#This Row],[X ]]^2</f>
        <v>784</v>
      </c>
      <c r="D21" s="6">
        <f>Tabla2[[#This Row],[X ]]^2+100*Tabla2[[#This Row],[X ]]+1000</f>
        <v>4584</v>
      </c>
    </row>
    <row r="22" spans="2:4" x14ac:dyDescent="0.35">
      <c r="B22" s="6">
        <v>37</v>
      </c>
      <c r="C22" s="6">
        <f>Tabla2[[#This Row],[X ]]^2</f>
        <v>1369</v>
      </c>
      <c r="D22" s="6">
        <f>Tabla2[[#This Row],[X ]]^2+100*Tabla2[[#This Row],[X ]]+1000</f>
        <v>6069</v>
      </c>
    </row>
    <row r="23" spans="2:4" x14ac:dyDescent="0.35">
      <c r="B23" s="6">
        <v>46</v>
      </c>
      <c r="C23" s="6">
        <f>Tabla2[[#This Row],[X ]]^2</f>
        <v>2116</v>
      </c>
      <c r="D23" s="6">
        <f>Tabla2[[#This Row],[X ]]^2+100*Tabla2[[#This Row],[X ]]+1000</f>
        <v>7716</v>
      </c>
    </row>
    <row r="24" spans="2:4" x14ac:dyDescent="0.35">
      <c r="B24" s="6">
        <v>55</v>
      </c>
      <c r="C24" s="6">
        <f>Tabla2[[#This Row],[X ]]^2</f>
        <v>3025</v>
      </c>
      <c r="D24" s="6">
        <f>Tabla2[[#This Row],[X ]]^2+100*Tabla2[[#This Row],[X ]]+1000</f>
        <v>9525</v>
      </c>
    </row>
    <row r="25" spans="2:4" x14ac:dyDescent="0.35">
      <c r="B25" s="6">
        <v>64</v>
      </c>
      <c r="C25" s="6">
        <f>Tabla2[[#This Row],[X ]]^2</f>
        <v>4096</v>
      </c>
      <c r="D25" s="6">
        <f>Tabla2[[#This Row],[X ]]^2+100*Tabla2[[#This Row],[X ]]+1000</f>
        <v>11496</v>
      </c>
    </row>
    <row r="26" spans="2:4" x14ac:dyDescent="0.35">
      <c r="B26" s="6">
        <v>73</v>
      </c>
      <c r="C26" s="6">
        <f>Tabla2[[#This Row],[X ]]^2</f>
        <v>5329</v>
      </c>
      <c r="D26" s="6">
        <f>Tabla2[[#This Row],[X ]]^2+100*Tabla2[[#This Row],[X ]]+1000</f>
        <v>13629</v>
      </c>
    </row>
    <row r="27" spans="2:4" x14ac:dyDescent="0.35">
      <c r="B27" s="6">
        <v>82</v>
      </c>
      <c r="C27" s="6">
        <f>Tabla2[[#This Row],[X ]]^2</f>
        <v>6724</v>
      </c>
      <c r="D27" s="6">
        <f>Tabla2[[#This Row],[X ]]^2+100*Tabla2[[#This Row],[X ]]+1000</f>
        <v>15924</v>
      </c>
    </row>
    <row r="28" spans="2:4" x14ac:dyDescent="0.35">
      <c r="B28" s="6">
        <v>91</v>
      </c>
      <c r="C28" s="6">
        <f>Tabla2[[#This Row],[X ]]^2</f>
        <v>8281</v>
      </c>
      <c r="D28" s="6">
        <f>Tabla2[[#This Row],[X ]]^2+100*Tabla2[[#This Row],[X ]]+1000</f>
        <v>18381</v>
      </c>
    </row>
  </sheetData>
  <mergeCells count="3">
    <mergeCell ref="C5:O5"/>
    <mergeCell ref="B7:B8"/>
    <mergeCell ref="C7:O8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O22"/>
  <sheetViews>
    <sheetView topLeftCell="A3" zoomScale="115" zoomScaleNormal="115" workbookViewId="0">
      <selection activeCell="C5" sqref="C5:O5"/>
    </sheetView>
  </sheetViews>
  <sheetFormatPr defaultColWidth="9.1796875" defaultRowHeight="14.5" x14ac:dyDescent="0.35"/>
  <cols>
    <col min="1" max="1" width="8.453125" style="1" customWidth="1"/>
    <col min="2" max="2" width="14.54296875" customWidth="1"/>
    <col min="3" max="3" width="9.1796875" customWidth="1"/>
    <col min="4" max="4" width="11.26953125" customWidth="1"/>
    <col min="5" max="5" width="10" customWidth="1"/>
    <col min="6" max="6" width="9.54296875" customWidth="1"/>
  </cols>
  <sheetData>
    <row r="3" spans="1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1:15" ht="7.5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1:15" ht="91.5" customHeight="1" x14ac:dyDescent="0.35">
      <c r="B5" s="13" t="s">
        <v>48</v>
      </c>
      <c r="C5" s="25" t="s">
        <v>52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8.5" x14ac:dyDescent="0.45">
      <c r="B6" s="10"/>
      <c r="J6" s="11"/>
      <c r="K6" s="12"/>
    </row>
    <row r="7" spans="1:15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 ht="62.25" customHeight="1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3" spans="1:15" x14ac:dyDescent="0.35">
      <c r="C13" s="14" t="s">
        <v>15</v>
      </c>
      <c r="D13" s="14" t="s">
        <v>18</v>
      </c>
      <c r="E13" s="14" t="s">
        <v>17</v>
      </c>
      <c r="F13" s="14" t="s">
        <v>16</v>
      </c>
    </row>
    <row r="14" spans="1:15" x14ac:dyDescent="0.35">
      <c r="C14" s="1" t="s">
        <v>12</v>
      </c>
      <c r="D14" s="1">
        <v>80</v>
      </c>
      <c r="E14" s="1">
        <v>30</v>
      </c>
      <c r="F14" s="1">
        <v>10</v>
      </c>
    </row>
    <row r="15" spans="1:15" x14ac:dyDescent="0.35">
      <c r="C15" s="1" t="s">
        <v>11</v>
      </c>
      <c r="D15" s="1">
        <v>45</v>
      </c>
      <c r="E15" s="1">
        <v>25</v>
      </c>
      <c r="F15" s="1">
        <v>15</v>
      </c>
    </row>
    <row r="16" spans="1:15" x14ac:dyDescent="0.35">
      <c r="A16"/>
      <c r="C16" s="1" t="s">
        <v>10</v>
      </c>
      <c r="D16" s="1">
        <v>25</v>
      </c>
      <c r="E16" s="1">
        <v>35</v>
      </c>
      <c r="F16" s="1">
        <v>20</v>
      </c>
    </row>
    <row r="17" spans="1:6" x14ac:dyDescent="0.35">
      <c r="A17"/>
      <c r="C17" s="1" t="s">
        <v>9</v>
      </c>
      <c r="D17" s="1">
        <v>20</v>
      </c>
      <c r="E17" s="1">
        <v>50</v>
      </c>
      <c r="F17" s="1">
        <v>35</v>
      </c>
    </row>
    <row r="18" spans="1:6" x14ac:dyDescent="0.35">
      <c r="A18"/>
      <c r="C18" s="1" t="s">
        <v>8</v>
      </c>
      <c r="D18" s="1">
        <v>10</v>
      </c>
      <c r="E18" s="1">
        <v>45</v>
      </c>
      <c r="F18" s="1">
        <v>60</v>
      </c>
    </row>
    <row r="19" spans="1:6" x14ac:dyDescent="0.35">
      <c r="A19"/>
      <c r="C19" s="15" t="s">
        <v>7</v>
      </c>
      <c r="D19" s="1">
        <v>5</v>
      </c>
      <c r="E19" s="1">
        <v>55</v>
      </c>
      <c r="F19" s="1">
        <v>95</v>
      </c>
    </row>
    <row r="20" spans="1:6" x14ac:dyDescent="0.35">
      <c r="A20"/>
    </row>
    <row r="21" spans="1:6" x14ac:dyDescent="0.35">
      <c r="A21"/>
    </row>
    <row r="22" spans="1:6" x14ac:dyDescent="0.35">
      <c r="A22"/>
    </row>
  </sheetData>
  <mergeCells count="3">
    <mergeCell ref="C5:O5"/>
    <mergeCell ref="B7:B8"/>
    <mergeCell ref="C7:O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O22"/>
  <sheetViews>
    <sheetView topLeftCell="A3" zoomScale="115" zoomScaleNormal="115" workbookViewId="0">
      <selection activeCell="C7" sqref="C7:O8"/>
    </sheetView>
  </sheetViews>
  <sheetFormatPr defaultColWidth="9.1796875" defaultRowHeight="14.5" x14ac:dyDescent="0.35"/>
  <cols>
    <col min="1" max="1" width="8.453125" style="1" customWidth="1"/>
    <col min="2" max="2" width="14.54296875" bestFit="1" customWidth="1"/>
    <col min="3" max="3" width="9.1796875" customWidth="1"/>
    <col min="4" max="4" width="11.26953125" customWidth="1"/>
    <col min="5" max="5" width="10" customWidth="1"/>
    <col min="6" max="6" width="9.54296875" customWidth="1"/>
  </cols>
  <sheetData>
    <row r="3" spans="1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1:15" ht="7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1:15" ht="91.5" customHeight="1" x14ac:dyDescent="0.35">
      <c r="B5" s="13" t="s">
        <v>48</v>
      </c>
      <c r="C5" s="25" t="s">
        <v>52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8.5" x14ac:dyDescent="0.45">
      <c r="B6" s="10"/>
      <c r="J6" s="11"/>
      <c r="K6" s="12"/>
    </row>
    <row r="7" spans="1:15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 ht="62.25" customHeight="1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3" spans="1:15" x14ac:dyDescent="0.35">
      <c r="C13" s="14" t="s">
        <v>15</v>
      </c>
      <c r="D13" s="14" t="s">
        <v>18</v>
      </c>
      <c r="E13" s="14" t="s">
        <v>17</v>
      </c>
      <c r="F13" s="14" t="s">
        <v>16</v>
      </c>
    </row>
    <row r="14" spans="1:15" x14ac:dyDescent="0.35">
      <c r="C14" s="1" t="s">
        <v>12</v>
      </c>
      <c r="D14" s="1">
        <v>80</v>
      </c>
      <c r="E14" s="1">
        <v>30</v>
      </c>
      <c r="F14" s="1">
        <v>10</v>
      </c>
    </row>
    <row r="15" spans="1:15" x14ac:dyDescent="0.35">
      <c r="C15" s="1" t="s">
        <v>11</v>
      </c>
      <c r="D15" s="1">
        <v>45</v>
      </c>
      <c r="E15" s="1">
        <v>25</v>
      </c>
      <c r="F15" s="1">
        <v>15</v>
      </c>
    </row>
    <row r="16" spans="1:15" x14ac:dyDescent="0.35">
      <c r="A16"/>
      <c r="C16" s="1" t="s">
        <v>10</v>
      </c>
      <c r="D16" s="1">
        <v>25</v>
      </c>
      <c r="E16" s="1">
        <v>35</v>
      </c>
      <c r="F16" s="1">
        <v>20</v>
      </c>
    </row>
    <row r="17" spans="1:6" x14ac:dyDescent="0.35">
      <c r="A17"/>
      <c r="C17" s="1" t="s">
        <v>9</v>
      </c>
      <c r="D17" s="1">
        <v>20</v>
      </c>
      <c r="E17" s="1">
        <v>50</v>
      </c>
      <c r="F17" s="1">
        <v>35</v>
      </c>
    </row>
    <row r="18" spans="1:6" x14ac:dyDescent="0.35">
      <c r="A18"/>
      <c r="C18" s="1" t="s">
        <v>8</v>
      </c>
      <c r="D18" s="1">
        <v>10</v>
      </c>
      <c r="E18" s="1">
        <v>45</v>
      </c>
      <c r="F18" s="1">
        <v>60</v>
      </c>
    </row>
    <row r="19" spans="1:6" x14ac:dyDescent="0.35">
      <c r="A19"/>
      <c r="C19" s="15" t="s">
        <v>7</v>
      </c>
      <c r="D19" s="1">
        <v>5</v>
      </c>
      <c r="E19" s="1">
        <v>55</v>
      </c>
      <c r="F19" s="1">
        <v>95</v>
      </c>
    </row>
    <row r="20" spans="1:6" x14ac:dyDescent="0.35">
      <c r="A20"/>
    </row>
    <row r="21" spans="1:6" x14ac:dyDescent="0.35">
      <c r="A21"/>
    </row>
    <row r="22" spans="1:6" x14ac:dyDescent="0.35">
      <c r="A22"/>
    </row>
  </sheetData>
  <mergeCells count="3">
    <mergeCell ref="C5:O5"/>
    <mergeCell ref="B7:B8"/>
    <mergeCell ref="C7:O8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O20"/>
  <sheetViews>
    <sheetView topLeftCell="A7" workbookViewId="0">
      <selection activeCell="J16" sqref="J16"/>
    </sheetView>
  </sheetViews>
  <sheetFormatPr defaultColWidth="9.1796875" defaultRowHeight="14.5" x14ac:dyDescent="0.35"/>
  <cols>
    <col min="2" max="2" width="14.54296875" style="2" customWidth="1"/>
    <col min="3" max="3" width="10.453125" style="2" customWidth="1"/>
    <col min="4" max="4" width="12" customWidth="1"/>
    <col min="5" max="5" width="14.453125" customWidth="1"/>
    <col min="15" max="15" width="25.453125" customWidth="1"/>
  </cols>
  <sheetData>
    <row r="3" spans="2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2:15" ht="7.5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2:15" ht="78.75" customHeight="1" x14ac:dyDescent="0.35">
      <c r="B5" s="13" t="s">
        <v>48</v>
      </c>
      <c r="C5" s="25" t="s">
        <v>53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8.5" x14ac:dyDescent="0.45">
      <c r="B6" s="10"/>
      <c r="C6"/>
      <c r="J6" s="11"/>
      <c r="K6" s="12"/>
    </row>
    <row r="7" spans="2:15" ht="67.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4" spans="2:15" x14ac:dyDescent="0.35">
      <c r="C14" s="16" t="s">
        <v>15</v>
      </c>
      <c r="D14" s="17" t="s">
        <v>14</v>
      </c>
      <c r="E14" s="17" t="s">
        <v>13</v>
      </c>
    </row>
    <row r="15" spans="2:15" x14ac:dyDescent="0.35">
      <c r="C15" t="s">
        <v>12</v>
      </c>
      <c r="D15" s="2">
        <v>70000</v>
      </c>
      <c r="E15" s="2">
        <v>10000</v>
      </c>
    </row>
    <row r="16" spans="2:15" x14ac:dyDescent="0.35">
      <c r="C16" t="s">
        <v>11</v>
      </c>
      <c r="D16" s="2">
        <v>80500</v>
      </c>
      <c r="E16" s="2">
        <v>15000</v>
      </c>
    </row>
    <row r="17" spans="3:5" x14ac:dyDescent="0.35">
      <c r="C17" t="s">
        <v>10</v>
      </c>
      <c r="D17" s="2">
        <v>75000</v>
      </c>
      <c r="E17" s="2">
        <v>20000</v>
      </c>
    </row>
    <row r="18" spans="3:5" x14ac:dyDescent="0.35">
      <c r="C18" t="s">
        <v>9</v>
      </c>
      <c r="D18" s="2">
        <v>90000</v>
      </c>
      <c r="E18" s="2">
        <v>30000</v>
      </c>
    </row>
    <row r="19" spans="3:5" x14ac:dyDescent="0.35">
      <c r="C19" t="s">
        <v>8</v>
      </c>
      <c r="D19" s="2">
        <v>105000</v>
      </c>
      <c r="E19" s="2">
        <v>45000</v>
      </c>
    </row>
    <row r="20" spans="3:5" x14ac:dyDescent="0.35">
      <c r="C20" t="s">
        <v>7</v>
      </c>
      <c r="D20" s="2">
        <v>130000</v>
      </c>
      <c r="E20" s="2">
        <v>80000</v>
      </c>
    </row>
  </sheetData>
  <mergeCells count="3">
    <mergeCell ref="C5:O5"/>
    <mergeCell ref="B7:B8"/>
    <mergeCell ref="C7:O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O20"/>
  <sheetViews>
    <sheetView topLeftCell="A4" workbookViewId="0">
      <selection activeCell="O17" sqref="O17"/>
    </sheetView>
  </sheetViews>
  <sheetFormatPr defaultColWidth="9.1796875" defaultRowHeight="14.5" x14ac:dyDescent="0.35"/>
  <cols>
    <col min="2" max="2" width="14.54296875" style="2" bestFit="1" customWidth="1"/>
    <col min="3" max="3" width="10.453125" style="2" customWidth="1"/>
    <col min="4" max="4" width="12" customWidth="1"/>
    <col min="5" max="5" width="14.453125" customWidth="1"/>
    <col min="15" max="15" width="25.453125" customWidth="1"/>
  </cols>
  <sheetData>
    <row r="3" spans="2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2:15" ht="7.5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2:15" ht="78.75" customHeight="1" x14ac:dyDescent="0.35">
      <c r="B5" s="13" t="s">
        <v>48</v>
      </c>
      <c r="C5" s="25" t="s">
        <v>53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8.5" x14ac:dyDescent="0.45">
      <c r="B6" s="10"/>
      <c r="C6"/>
      <c r="J6" s="11"/>
      <c r="K6" s="12"/>
    </row>
    <row r="7" spans="2:15" ht="67.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4" spans="2:15" x14ac:dyDescent="0.35">
      <c r="C14" s="16" t="s">
        <v>15</v>
      </c>
      <c r="D14" s="17" t="s">
        <v>14</v>
      </c>
      <c r="E14" s="17" t="s">
        <v>13</v>
      </c>
    </row>
    <row r="15" spans="2:15" x14ac:dyDescent="0.35">
      <c r="C15" t="s">
        <v>12</v>
      </c>
      <c r="D15" s="2">
        <v>70000</v>
      </c>
      <c r="E15" s="2">
        <v>10000</v>
      </c>
    </row>
    <row r="16" spans="2:15" x14ac:dyDescent="0.35">
      <c r="C16" t="s">
        <v>11</v>
      </c>
      <c r="D16" s="2">
        <v>80500</v>
      </c>
      <c r="E16" s="2">
        <v>15000</v>
      </c>
    </row>
    <row r="17" spans="3:5" x14ac:dyDescent="0.35">
      <c r="C17" t="s">
        <v>10</v>
      </c>
      <c r="D17" s="2">
        <v>75000</v>
      </c>
      <c r="E17" s="2">
        <v>20000</v>
      </c>
    </row>
    <row r="18" spans="3:5" x14ac:dyDescent="0.35">
      <c r="C18" t="s">
        <v>9</v>
      </c>
      <c r="D18" s="2">
        <v>90000</v>
      </c>
      <c r="E18" s="2">
        <v>30000</v>
      </c>
    </row>
    <row r="19" spans="3:5" x14ac:dyDescent="0.35">
      <c r="C19" t="s">
        <v>8</v>
      </c>
      <c r="D19" s="2">
        <v>105000</v>
      </c>
      <c r="E19" s="2">
        <v>45000</v>
      </c>
    </row>
    <row r="20" spans="3:5" x14ac:dyDescent="0.35">
      <c r="C20" t="s">
        <v>7</v>
      </c>
      <c r="D20" s="2">
        <v>130000</v>
      </c>
      <c r="E20" s="2">
        <v>80000</v>
      </c>
    </row>
  </sheetData>
  <mergeCells count="3">
    <mergeCell ref="C5:O5"/>
    <mergeCell ref="B7:B8"/>
    <mergeCell ref="C7:O8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O20"/>
  <sheetViews>
    <sheetView topLeftCell="A6" workbookViewId="0">
      <selection activeCell="C7" sqref="C7:O8"/>
    </sheetView>
  </sheetViews>
  <sheetFormatPr defaultColWidth="9.1796875" defaultRowHeight="14.5" x14ac:dyDescent="0.35"/>
  <cols>
    <col min="1" max="1" width="10.1796875" style="1" customWidth="1"/>
    <col min="2" max="2" width="14.54296875" style="1" customWidth="1"/>
    <col min="3" max="3" width="12.81640625" style="1" customWidth="1"/>
    <col min="4" max="4" width="17.1796875" customWidth="1"/>
    <col min="5" max="5" width="15.1796875" customWidth="1"/>
  </cols>
  <sheetData>
    <row r="3" spans="1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1:15" ht="10.5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1:15" ht="75" customHeight="1" x14ac:dyDescent="0.35">
      <c r="B5" s="13" t="s">
        <v>48</v>
      </c>
      <c r="C5" s="25" t="s">
        <v>54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8.5" x14ac:dyDescent="0.45">
      <c r="B6" s="10"/>
      <c r="C6"/>
      <c r="J6" s="11"/>
      <c r="K6" s="12"/>
    </row>
    <row r="7" spans="1:15" ht="83.2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4" spans="1:15" x14ac:dyDescent="0.35">
      <c r="C14" s="18" t="s">
        <v>0</v>
      </c>
      <c r="D14" s="18" t="s">
        <v>6</v>
      </c>
      <c r="E14" s="14" t="s">
        <v>5</v>
      </c>
    </row>
    <row r="15" spans="1:15" x14ac:dyDescent="0.35">
      <c r="C15" s="1" t="s">
        <v>4</v>
      </c>
      <c r="D15" s="19">
        <v>14</v>
      </c>
      <c r="E15" s="19">
        <v>19</v>
      </c>
    </row>
    <row r="16" spans="1:15" x14ac:dyDescent="0.35">
      <c r="A16"/>
      <c r="B16"/>
      <c r="C16" t="s">
        <v>1</v>
      </c>
      <c r="D16" s="19">
        <v>8</v>
      </c>
      <c r="E16" s="19">
        <v>15</v>
      </c>
    </row>
    <row r="17" spans="1:5" x14ac:dyDescent="0.35">
      <c r="A17"/>
      <c r="B17"/>
      <c r="C17" t="s">
        <v>2</v>
      </c>
      <c r="D17" s="19">
        <v>18</v>
      </c>
      <c r="E17" s="19">
        <v>7</v>
      </c>
    </row>
    <row r="18" spans="1:5" x14ac:dyDescent="0.35">
      <c r="A18"/>
      <c r="B18"/>
      <c r="C18" t="s">
        <v>3</v>
      </c>
      <c r="D18" s="19">
        <v>12</v>
      </c>
      <c r="E18" s="19">
        <v>10</v>
      </c>
    </row>
    <row r="19" spans="1:5" x14ac:dyDescent="0.35">
      <c r="A19"/>
      <c r="B19"/>
      <c r="C19"/>
    </row>
    <row r="20" spans="1:5" x14ac:dyDescent="0.35">
      <c r="A20"/>
      <c r="B20"/>
      <c r="C20"/>
    </row>
  </sheetData>
  <mergeCells count="3">
    <mergeCell ref="C5:O5"/>
    <mergeCell ref="B7:B8"/>
    <mergeCell ref="C7:O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O20"/>
  <sheetViews>
    <sheetView workbookViewId="0">
      <selection activeCell="P12" sqref="P12"/>
    </sheetView>
  </sheetViews>
  <sheetFormatPr defaultColWidth="9.1796875" defaultRowHeight="14.5" x14ac:dyDescent="0.35"/>
  <cols>
    <col min="1" max="1" width="10.1796875" style="1" customWidth="1"/>
    <col min="2" max="2" width="14.54296875" style="1" bestFit="1" customWidth="1"/>
    <col min="3" max="3" width="12.81640625" style="1" customWidth="1"/>
    <col min="4" max="4" width="17.1796875" customWidth="1"/>
    <col min="5" max="5" width="15.1796875" customWidth="1"/>
  </cols>
  <sheetData>
    <row r="3" spans="1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1:15" ht="10.5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1:15" ht="75" customHeight="1" x14ac:dyDescent="0.35">
      <c r="B5" s="13" t="s">
        <v>48</v>
      </c>
      <c r="C5" s="25" t="s">
        <v>54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8.5" x14ac:dyDescent="0.45">
      <c r="B6" s="10"/>
      <c r="C6"/>
      <c r="J6" s="11"/>
      <c r="K6" s="12"/>
    </row>
    <row r="7" spans="1:15" ht="83.2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4" spans="1:15" x14ac:dyDescent="0.35">
      <c r="C14" s="18" t="s">
        <v>0</v>
      </c>
      <c r="D14" s="18" t="s">
        <v>6</v>
      </c>
      <c r="E14" s="14" t="s">
        <v>5</v>
      </c>
    </row>
    <row r="15" spans="1:15" x14ac:dyDescent="0.35">
      <c r="C15" s="1" t="s">
        <v>4</v>
      </c>
      <c r="D15" s="19">
        <v>14</v>
      </c>
      <c r="E15" s="19">
        <v>19</v>
      </c>
    </row>
    <row r="16" spans="1:15" x14ac:dyDescent="0.35">
      <c r="A16"/>
      <c r="B16"/>
      <c r="C16" t="s">
        <v>1</v>
      </c>
      <c r="D16" s="19">
        <v>8</v>
      </c>
      <c r="E16" s="19">
        <v>15</v>
      </c>
    </row>
    <row r="17" spans="1:5" x14ac:dyDescent="0.35">
      <c r="A17"/>
      <c r="B17"/>
      <c r="C17" t="s">
        <v>2</v>
      </c>
      <c r="D17" s="19">
        <v>18</v>
      </c>
      <c r="E17" s="19">
        <v>7</v>
      </c>
    </row>
    <row r="18" spans="1:5" x14ac:dyDescent="0.35">
      <c r="A18"/>
      <c r="B18"/>
      <c r="C18" t="s">
        <v>3</v>
      </c>
      <c r="D18" s="19">
        <v>12</v>
      </c>
      <c r="E18" s="19">
        <v>10</v>
      </c>
    </row>
    <row r="19" spans="1:5" x14ac:dyDescent="0.35">
      <c r="A19"/>
      <c r="B19"/>
      <c r="C19"/>
    </row>
    <row r="20" spans="1:5" x14ac:dyDescent="0.35">
      <c r="A20"/>
      <c r="B20"/>
      <c r="C20"/>
    </row>
  </sheetData>
  <mergeCells count="3">
    <mergeCell ref="C5:O5"/>
    <mergeCell ref="B7:B8"/>
    <mergeCell ref="C7:O8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O25"/>
  <sheetViews>
    <sheetView topLeftCell="A5" zoomScale="115" zoomScaleNormal="115" workbookViewId="0">
      <selection activeCell="L20" sqref="L20"/>
    </sheetView>
  </sheetViews>
  <sheetFormatPr defaultColWidth="9.1796875" defaultRowHeight="14.5" x14ac:dyDescent="0.35"/>
  <cols>
    <col min="1" max="1" width="12.453125" customWidth="1"/>
    <col min="2" max="2" width="14.54296875" style="1" customWidth="1"/>
    <col min="3" max="3" width="15.1796875" customWidth="1"/>
    <col min="4" max="4" width="13.26953125" customWidth="1"/>
  </cols>
  <sheetData>
    <row r="3" spans="2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2:15" ht="12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2:15" ht="67.5" customHeight="1" x14ac:dyDescent="0.35">
      <c r="B5" s="13" t="s">
        <v>48</v>
      </c>
      <c r="C5" s="25" t="s">
        <v>55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8.5" x14ac:dyDescent="0.45">
      <c r="B6" s="10"/>
      <c r="J6" s="11"/>
      <c r="K6" s="12"/>
    </row>
    <row r="7" spans="2:15" ht="62.2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5" spans="2:15" x14ac:dyDescent="0.35">
      <c r="C15" s="20" t="s">
        <v>23</v>
      </c>
      <c r="D15" s="14" t="s">
        <v>14</v>
      </c>
    </row>
    <row r="16" spans="2:15" x14ac:dyDescent="0.35">
      <c r="C16" s="3" t="s">
        <v>22</v>
      </c>
      <c r="D16" s="2">
        <v>90000</v>
      </c>
    </row>
    <row r="17" spans="1:4" x14ac:dyDescent="0.35">
      <c r="C17" s="3" t="s">
        <v>21</v>
      </c>
      <c r="D17" s="2">
        <v>50000</v>
      </c>
    </row>
    <row r="18" spans="1:4" x14ac:dyDescent="0.35">
      <c r="C18" s="3" t="s">
        <v>20</v>
      </c>
      <c r="D18" s="2">
        <v>30000</v>
      </c>
    </row>
    <row r="19" spans="1:4" x14ac:dyDescent="0.35">
      <c r="C19" s="3" t="s">
        <v>19</v>
      </c>
      <c r="D19" s="2">
        <v>75000</v>
      </c>
    </row>
    <row r="25" spans="1:4" x14ac:dyDescent="0.35">
      <c r="A25" s="3"/>
    </row>
  </sheetData>
  <mergeCells count="3">
    <mergeCell ref="C5:O5"/>
    <mergeCell ref="B7:B8"/>
    <mergeCell ref="C7:O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O25"/>
  <sheetViews>
    <sheetView workbookViewId="0">
      <selection activeCell="O35" sqref="O35"/>
    </sheetView>
  </sheetViews>
  <sheetFormatPr defaultColWidth="9.1796875" defaultRowHeight="14.5" x14ac:dyDescent="0.35"/>
  <cols>
    <col min="1" max="1" width="12.453125" customWidth="1"/>
    <col min="2" max="2" width="14.54296875" style="1" bestFit="1" customWidth="1"/>
    <col min="3" max="3" width="15.1796875" customWidth="1"/>
    <col min="4" max="4" width="13.26953125" customWidth="1"/>
  </cols>
  <sheetData>
    <row r="3" spans="2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2:15" ht="12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2:15" ht="67.5" customHeight="1" x14ac:dyDescent="0.35">
      <c r="B5" s="13" t="s">
        <v>48</v>
      </c>
      <c r="C5" s="25" t="s">
        <v>55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8.5" x14ac:dyDescent="0.45">
      <c r="B6" s="10"/>
      <c r="J6" s="11"/>
      <c r="K6" s="12"/>
    </row>
    <row r="7" spans="2:15" ht="62.2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5" spans="2:15" x14ac:dyDescent="0.35">
      <c r="C15" s="20" t="s">
        <v>23</v>
      </c>
      <c r="D15" s="14" t="s">
        <v>14</v>
      </c>
    </row>
    <row r="16" spans="2:15" x14ac:dyDescent="0.35">
      <c r="C16" s="3" t="s">
        <v>22</v>
      </c>
      <c r="D16" s="2">
        <v>90000</v>
      </c>
    </row>
    <row r="17" spans="1:4" x14ac:dyDescent="0.35">
      <c r="C17" s="3" t="s">
        <v>21</v>
      </c>
      <c r="D17" s="2">
        <v>50000</v>
      </c>
    </row>
    <row r="18" spans="1:4" x14ac:dyDescent="0.35">
      <c r="C18" s="3" t="s">
        <v>20</v>
      </c>
      <c r="D18" s="2">
        <v>30000</v>
      </c>
    </row>
    <row r="19" spans="1:4" x14ac:dyDescent="0.35">
      <c r="C19" s="3" t="s">
        <v>19</v>
      </c>
      <c r="D19" s="2">
        <v>75000</v>
      </c>
    </row>
    <row r="25" spans="1:4" x14ac:dyDescent="0.35">
      <c r="A25" s="3"/>
    </row>
  </sheetData>
  <mergeCells count="3">
    <mergeCell ref="C5:O5"/>
    <mergeCell ref="B7:B8"/>
    <mergeCell ref="C7:O8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O28"/>
  <sheetViews>
    <sheetView topLeftCell="C12" zoomScale="115" zoomScaleNormal="115" workbookViewId="0">
      <selection activeCell="H30" sqref="H30"/>
    </sheetView>
  </sheetViews>
  <sheetFormatPr defaultColWidth="11.453125" defaultRowHeight="14.5" x14ac:dyDescent="0.35"/>
  <cols>
    <col min="2" max="2" width="14.54296875" customWidth="1"/>
  </cols>
  <sheetData>
    <row r="3" spans="2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2:15" ht="7.5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2:15" ht="66" customHeight="1" x14ac:dyDescent="0.35">
      <c r="B5" s="13" t="s">
        <v>48</v>
      </c>
      <c r="C5" s="25" t="s">
        <v>58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8.5" x14ac:dyDescent="0.45">
      <c r="B6" s="10"/>
      <c r="J6" s="11"/>
      <c r="K6" s="12"/>
    </row>
    <row r="7" spans="2:15" ht="63.7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6" spans="2:15" x14ac:dyDescent="0.35">
      <c r="C16" t="s">
        <v>15</v>
      </c>
      <c r="D16" t="s">
        <v>36</v>
      </c>
      <c r="E16" t="s">
        <v>37</v>
      </c>
    </row>
    <row r="17" spans="3:5" x14ac:dyDescent="0.35">
      <c r="C17" t="s">
        <v>25</v>
      </c>
      <c r="D17">
        <v>23</v>
      </c>
      <c r="E17">
        <v>2300</v>
      </c>
    </row>
    <row r="18" spans="3:5" x14ac:dyDescent="0.35">
      <c r="C18" t="s">
        <v>26</v>
      </c>
      <c r="D18">
        <v>23</v>
      </c>
      <c r="E18">
        <v>4600</v>
      </c>
    </row>
    <row r="19" spans="3:5" x14ac:dyDescent="0.35">
      <c r="C19" t="s">
        <v>27</v>
      </c>
      <c r="D19">
        <v>23</v>
      </c>
      <c r="E19">
        <v>6900</v>
      </c>
    </row>
    <row r="20" spans="3:5" x14ac:dyDescent="0.35">
      <c r="C20" t="s">
        <v>30</v>
      </c>
      <c r="D20">
        <v>56</v>
      </c>
      <c r="E20">
        <v>5600</v>
      </c>
    </row>
    <row r="21" spans="3:5" x14ac:dyDescent="0.35">
      <c r="C21" t="s">
        <v>8</v>
      </c>
      <c r="D21">
        <v>78</v>
      </c>
      <c r="E21">
        <v>15600</v>
      </c>
    </row>
    <row r="22" spans="3:5" x14ac:dyDescent="0.35">
      <c r="C22" t="s">
        <v>28</v>
      </c>
      <c r="D22">
        <v>34</v>
      </c>
      <c r="E22">
        <v>10200</v>
      </c>
    </row>
    <row r="23" spans="3:5" x14ac:dyDescent="0.35">
      <c r="C23" t="s">
        <v>29</v>
      </c>
      <c r="D23">
        <v>78</v>
      </c>
      <c r="E23">
        <v>7800</v>
      </c>
    </row>
    <row r="24" spans="3:5" x14ac:dyDescent="0.35">
      <c r="C24" t="s">
        <v>31</v>
      </c>
      <c r="D24">
        <v>90</v>
      </c>
      <c r="E24">
        <v>18000</v>
      </c>
    </row>
    <row r="25" spans="3:5" x14ac:dyDescent="0.35">
      <c r="C25" t="s">
        <v>32</v>
      </c>
      <c r="D25">
        <v>45</v>
      </c>
      <c r="E25">
        <v>13500</v>
      </c>
    </row>
    <row r="26" spans="3:5" x14ac:dyDescent="0.35">
      <c r="C26" t="s">
        <v>33</v>
      </c>
      <c r="D26">
        <v>34</v>
      </c>
      <c r="E26">
        <v>3400</v>
      </c>
    </row>
    <row r="27" spans="3:5" x14ac:dyDescent="0.35">
      <c r="C27" t="s">
        <v>34</v>
      </c>
      <c r="D27">
        <v>56</v>
      </c>
      <c r="E27">
        <v>11200</v>
      </c>
    </row>
    <row r="28" spans="3:5" x14ac:dyDescent="0.35">
      <c r="C28" t="s">
        <v>35</v>
      </c>
      <c r="D28">
        <v>78</v>
      </c>
      <c r="E28">
        <v>23400</v>
      </c>
    </row>
  </sheetData>
  <mergeCells count="3">
    <mergeCell ref="C5:O5"/>
    <mergeCell ref="B7:B8"/>
    <mergeCell ref="C7:O8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O28"/>
  <sheetViews>
    <sheetView tabSelected="1" topLeftCell="J15" zoomScale="115" zoomScaleNormal="115" workbookViewId="0">
      <selection activeCell="R21" sqref="R21"/>
    </sheetView>
  </sheetViews>
  <sheetFormatPr defaultColWidth="11.453125" defaultRowHeight="14.5" x14ac:dyDescent="0.35"/>
  <cols>
    <col min="2" max="2" width="14.54296875" bestFit="1" customWidth="1"/>
  </cols>
  <sheetData>
    <row r="3" spans="2:15" ht="23.5" x14ac:dyDescent="0.55000000000000004">
      <c r="B3" s="7" t="s">
        <v>47</v>
      </c>
      <c r="C3" s="8"/>
      <c r="D3" s="8"/>
      <c r="E3" s="8"/>
      <c r="F3" s="8"/>
      <c r="G3" s="8"/>
      <c r="H3" s="8"/>
      <c r="I3" s="8"/>
      <c r="J3" s="8"/>
      <c r="K3" s="8"/>
    </row>
    <row r="4" spans="2:15" ht="7.5" customHeight="1" x14ac:dyDescent="0.35">
      <c r="B4" s="9"/>
      <c r="C4" s="8"/>
      <c r="D4" s="8"/>
      <c r="E4" s="8"/>
      <c r="F4" s="8"/>
      <c r="G4" s="8"/>
      <c r="H4" s="8"/>
      <c r="I4" s="8"/>
      <c r="J4" s="8"/>
      <c r="K4" s="8"/>
    </row>
    <row r="5" spans="2:15" ht="66" customHeight="1" x14ac:dyDescent="0.35">
      <c r="B5" s="13" t="s">
        <v>48</v>
      </c>
      <c r="C5" s="25" t="s">
        <v>56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8.5" x14ac:dyDescent="0.45">
      <c r="B6" s="10"/>
      <c r="J6" s="11"/>
      <c r="K6" s="12"/>
    </row>
    <row r="7" spans="2:15" ht="63.75" customHeight="1" x14ac:dyDescent="0.35">
      <c r="B7" s="26" t="s">
        <v>49</v>
      </c>
      <c r="C7" s="25" t="s">
        <v>51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x14ac:dyDescent="0.35">
      <c r="B8" s="2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6" spans="2:15" x14ac:dyDescent="0.35">
      <c r="C16" t="s">
        <v>15</v>
      </c>
      <c r="D16" t="s">
        <v>36</v>
      </c>
      <c r="E16" t="s">
        <v>37</v>
      </c>
    </row>
    <row r="17" spans="3:5" x14ac:dyDescent="0.35">
      <c r="C17" t="s">
        <v>25</v>
      </c>
      <c r="D17">
        <v>23</v>
      </c>
      <c r="E17">
        <v>2300</v>
      </c>
    </row>
    <row r="18" spans="3:5" x14ac:dyDescent="0.35">
      <c r="C18" t="s">
        <v>26</v>
      </c>
      <c r="D18">
        <v>23</v>
      </c>
      <c r="E18">
        <v>4600</v>
      </c>
    </row>
    <row r="19" spans="3:5" x14ac:dyDescent="0.35">
      <c r="C19" t="s">
        <v>27</v>
      </c>
      <c r="D19">
        <v>23</v>
      </c>
      <c r="E19">
        <v>6900</v>
      </c>
    </row>
    <row r="20" spans="3:5" x14ac:dyDescent="0.35">
      <c r="C20" t="s">
        <v>30</v>
      </c>
      <c r="D20">
        <v>56</v>
      </c>
      <c r="E20">
        <v>5600</v>
      </c>
    </row>
    <row r="21" spans="3:5" x14ac:dyDescent="0.35">
      <c r="C21" t="s">
        <v>8</v>
      </c>
      <c r="D21">
        <v>78</v>
      </c>
      <c r="E21">
        <v>15600</v>
      </c>
    </row>
    <row r="22" spans="3:5" x14ac:dyDescent="0.35">
      <c r="C22" t="s">
        <v>28</v>
      </c>
      <c r="D22">
        <v>34</v>
      </c>
      <c r="E22">
        <v>10200</v>
      </c>
    </row>
    <row r="23" spans="3:5" x14ac:dyDescent="0.35">
      <c r="C23" t="s">
        <v>29</v>
      </c>
      <c r="D23">
        <v>78</v>
      </c>
      <c r="E23">
        <v>7800</v>
      </c>
    </row>
    <row r="24" spans="3:5" x14ac:dyDescent="0.35">
      <c r="C24" t="s">
        <v>31</v>
      </c>
      <c r="D24">
        <v>90</v>
      </c>
      <c r="E24">
        <v>18000</v>
      </c>
    </row>
    <row r="25" spans="3:5" x14ac:dyDescent="0.35">
      <c r="C25" t="s">
        <v>32</v>
      </c>
      <c r="D25">
        <v>45</v>
      </c>
      <c r="E25">
        <v>13500</v>
      </c>
    </row>
    <row r="26" spans="3:5" x14ac:dyDescent="0.35">
      <c r="C26" t="s">
        <v>33</v>
      </c>
      <c r="D26">
        <v>34</v>
      </c>
      <c r="E26">
        <v>3400</v>
      </c>
    </row>
    <row r="27" spans="3:5" x14ac:dyDescent="0.35">
      <c r="C27" t="s">
        <v>34</v>
      </c>
      <c r="D27">
        <v>56</v>
      </c>
      <c r="E27">
        <v>11200</v>
      </c>
    </row>
    <row r="28" spans="3:5" x14ac:dyDescent="0.35">
      <c r="C28" t="s">
        <v>35</v>
      </c>
      <c r="D28">
        <v>78</v>
      </c>
      <c r="E28">
        <v>23400</v>
      </c>
    </row>
  </sheetData>
  <mergeCells count="3">
    <mergeCell ref="C5:O5"/>
    <mergeCell ref="B7:B8"/>
    <mergeCell ref="C7:O8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6ab8e-cbd2-4a96-93f4-452498ebce46" xsi:nil="true"/>
    <lcf76f155ced4ddcb4097134ff3c332f xmlns="76c91d98-7809-481a-a1ac-bd62ec4f59f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556E4-FF3B-4028-ADC1-D85135118B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BD92FE-7CFE-410D-B545-75E94DE710B2}">
  <ds:schemaRefs>
    <ds:schemaRef ds:uri="http://schemas.microsoft.com/office/2006/metadata/properties"/>
    <ds:schemaRef ds:uri="http://schemas.microsoft.com/office/infopath/2007/PartnerControls"/>
    <ds:schemaRef ds:uri="4a7d4585-7e3d-470b-a89c-954d7b9bf532"/>
    <ds:schemaRef ds:uri="8bd454db-6fe9-479a-9f4c-8c9536371f50"/>
    <ds:schemaRef ds:uri="85e6ab8e-cbd2-4a96-93f4-452498ebce46"/>
    <ds:schemaRef ds:uri="76c91d98-7809-481a-a1ac-bd62ec4f59fb"/>
  </ds:schemaRefs>
</ds:datastoreItem>
</file>

<file path=customXml/itemProps3.xml><?xml version="1.0" encoding="utf-8"?>
<ds:datastoreItem xmlns:ds="http://schemas.openxmlformats.org/officeDocument/2006/customXml" ds:itemID="{DF1BA9B2-5B1F-48E2-A73A-2D10308C38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Content</vt:lpstr>
      <vt:lpstr>A glance</vt:lpstr>
      <vt:lpstr>Scatter</vt:lpstr>
      <vt:lpstr>Scatter_SOLVED</vt:lpstr>
      <vt:lpstr>Lines</vt:lpstr>
      <vt:lpstr>Lines_SOLVED</vt:lpstr>
      <vt:lpstr>Columns</vt:lpstr>
      <vt:lpstr>Columns_SOLVED</vt:lpstr>
      <vt:lpstr>Bar</vt:lpstr>
      <vt:lpstr>Bar_SOLVED</vt:lpstr>
      <vt:lpstr>Pie</vt:lpstr>
      <vt:lpstr>Pie_SOLVED</vt:lpstr>
      <vt:lpstr>Double Axis</vt:lpstr>
      <vt:lpstr>Double Axis_SOLVED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on the Net</dc:creator>
  <cp:lastModifiedBy>Javier Hernanz</cp:lastModifiedBy>
  <dcterms:created xsi:type="dcterms:W3CDTF">2014-11-25T14:29:21Z</dcterms:created>
  <dcterms:modified xsi:type="dcterms:W3CDTF">2022-09-29T05:51:31Z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0x0101000215D731DD93AC4BA48C051DCF7863BE</vt:lpwstr>
  </property>
  <property fmtid="{D5CDD505-2E9C-101B-9397-08002B2CF9AE}" pid="3" name="MediaServiceImageTags">
    <vt:lpwstr/>
  </property>
</Properties>
</file>