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Data/itemProps1.xml" ContentType="application/vnd.ms-excel.customData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online.sharepoint.com/sites/2209EADAConsumerApps/Documentos compartidos/General/Materiales/MIC MATERIAL/EXCEL/Session2/"/>
    </mc:Choice>
  </mc:AlternateContent>
  <xr:revisionPtr revIDLastSave="0" documentId="11_455D9DAB701617BEFC00DA5B2248E7576338D47F" xr6:coauthVersionLast="47" xr6:coauthVersionMax="47" xr10:uidLastSave="{00000000-0000-0000-0000-000000000000}"/>
  <bookViews>
    <workbookView xWindow="-110" yWindow="-110" windowWidth="19420" windowHeight="10560" tabRatio="705" xr2:uid="{00000000-000D-0000-FFFF-FFFF00000000}"/>
  </bookViews>
  <sheets>
    <sheet name="Content" sheetId="51" r:id="rId1"/>
    <sheet name="Cell Naming_RAW" sheetId="77" r:id="rId2"/>
    <sheet name="Data Input_RAW" sheetId="56" r:id="rId3"/>
    <sheet name="Formato Condicional2_Solved" sheetId="43" state="hidden" r:id="rId4"/>
    <sheet name="Data Input_SOLVED" sheetId="69" r:id="rId5"/>
    <sheet name="SortFilter_RAW" sheetId="70" r:id="rId6"/>
    <sheet name="SortFilter_SOLVED" sheetId="71" r:id="rId7"/>
    <sheet name="what if" sheetId="15" state="hidden" r:id="rId8"/>
    <sheet name="What if2" sheetId="16" state="hidden" r:id="rId9"/>
  </sheets>
  <definedNames>
    <definedName name="_xlnm._FilterDatabase" localSheetId="5" hidden="1">SortFilter_RAW!$E$9:$L$36</definedName>
    <definedName name="_xlnm._FilterDatabase" localSheetId="6" hidden="1">SortFilter_SOLVED!$E$21:$L$48</definedName>
    <definedName name="_xlnm.Criteria" localSheetId="6">SortFilter_SOLVED!$N$15:$U$17</definedName>
    <definedName name="_xlnm.Extract" localSheetId="6">SortFilter_SOLVED!$N$3:$U$3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71" l="1"/>
  <c r="S12" i="71"/>
  <c r="S8" i="71"/>
  <c r="O4" i="71"/>
  <c r="H6" i="43" l="1"/>
  <c r="H7" i="43"/>
  <c r="H8" i="43"/>
  <c r="H9" i="43"/>
  <c r="H10" i="43"/>
  <c r="H11" i="43"/>
  <c r="H12" i="43"/>
  <c r="H13" i="43"/>
  <c r="H14" i="43"/>
  <c r="H15" i="43"/>
  <c r="H16" i="43"/>
  <c r="H17" i="43"/>
  <c r="H18" i="43"/>
  <c r="H19" i="43"/>
  <c r="H20" i="43"/>
  <c r="H21" i="43"/>
  <c r="H22" i="43"/>
  <c r="H23" i="43"/>
  <c r="H24" i="43"/>
  <c r="H25" i="43"/>
  <c r="H26" i="43"/>
  <c r="H27" i="43"/>
  <c r="H28" i="43"/>
  <c r="H29" i="43"/>
  <c r="D8" i="16" l="1"/>
  <c r="D21" i="15" l="1"/>
  <c r="D20" i="15"/>
  <c r="D22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Excel usa esta conexión para la comunicación entre el libro y los datos de PowerPivot incrustados y no se debe editar o eliminar manualmente." type="5" refreshedVersion="0" background="1">
    <dbPr connection="Provider=MSOLAP.4;Persist Security Info=True;Initial Catalog=Microsoft_SQLServer_AnalysisServices;Data Source=$Embedded$;MDX Compatibility=1;Safety Options=2;MDX Missing Member Mode=Error;Optimize Response=3;Cell Error Mode=TextValue" command="Sandbox" commandType="1"/>
    <olapPr sendLocale="1" rowDrillCount="1000"/>
    <extLst>
      <ext xmlns:x14="http://schemas.microsoft.com/office/spreadsheetml/2009/9/main" uri="{D79990A0-CA42-45e3-83F4-45C500A0EAA5}">
        <x14:connection culture="" embeddedDataId="Microsoft_SQLServer_AnalysisServices"/>
      </ext>
    </extLst>
  </connection>
</connections>
</file>

<file path=xl/sharedStrings.xml><?xml version="1.0" encoding="utf-8"?>
<sst xmlns="http://schemas.openxmlformats.org/spreadsheetml/2006/main" count="600" uniqueCount="207">
  <si>
    <t>Amount</t>
  </si>
  <si>
    <t>Unit cost</t>
  </si>
  <si>
    <t>Unit Sales Price</t>
  </si>
  <si>
    <t>Sales</t>
  </si>
  <si>
    <t>Fix cost</t>
  </si>
  <si>
    <t>Total variable cost</t>
  </si>
  <si>
    <t>Total cost</t>
  </si>
  <si>
    <t>Total Income</t>
  </si>
  <si>
    <t>Benefits</t>
  </si>
  <si>
    <t>Goal seek</t>
  </si>
  <si>
    <t>Duration</t>
  </si>
  <si>
    <t>years</t>
  </si>
  <si>
    <t>Rate</t>
  </si>
  <si>
    <t>% per year</t>
  </si>
  <si>
    <t>Monthly payment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</si>
  <si>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</si>
  <si>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</si>
  <si>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</si>
  <si>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</si>
  <si>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</si>
  <si>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</si>
  <si>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</si>
  <si>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</si>
  <si>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</si>
  <si>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</si>
  <si>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</si>
  <si>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</si>
  <si>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Limitaciones</t>
  </si>
  <si>
    <t>ID1</t>
  </si>
  <si>
    <t>Método</t>
  </si>
  <si>
    <t>Inconviente</t>
  </si>
  <si>
    <t>Iconos con referencias absolutas</t>
  </si>
  <si>
    <t>Debo crear tantos formatos como filas</t>
  </si>
  <si>
    <t xml:space="preserve">Iconos con Columna auxiliar con referencias numéricas </t>
  </si>
  <si>
    <t>Debo cosntruir otra columna</t>
  </si>
  <si>
    <t>Formato de celda con referencias relativas</t>
  </si>
  <si>
    <t>No puedo utilizar iconos</t>
  </si>
  <si>
    <t>Año</t>
  </si>
  <si>
    <t>Tipo</t>
  </si>
  <si>
    <t>Precio Público</t>
  </si>
  <si>
    <t>Tipo 1</t>
  </si>
  <si>
    <t>Tipo 2</t>
  </si>
  <si>
    <t>Tipo 3</t>
  </si>
  <si>
    <t>Tipo 4</t>
  </si>
  <si>
    <t>Tipo 5</t>
  </si>
  <si>
    <t>Precio Fabricación</t>
  </si>
  <si>
    <t>Precio Distribución</t>
  </si>
  <si>
    <t>Mes</t>
  </si>
  <si>
    <t>Ejemplo 3</t>
  </si>
  <si>
    <t>Objective</t>
  </si>
  <si>
    <t>Method</t>
  </si>
  <si>
    <t>3 6 ISERN SERRANO, MONICA DS 2:06:36 +6:42</t>
  </si>
  <si>
    <t>4 3 FORN MUNNE, TERESA DM 2:10:52 +10:58</t>
  </si>
  <si>
    <t>5 7 VILLEGAS FORN, NURIA DV 2:13:53 +13:59</t>
  </si>
  <si>
    <t>6 636 GRACIA MARTINEZ, CLARA DS 2:14:48 +14:54</t>
  </si>
  <si>
    <t>7 543 VILA ESCRICH, MÀBEL DS 2:15:48 +15:54</t>
  </si>
  <si>
    <t>8 15 BALAGUER VICENT, NEUS DS 2:18:13 +18:19</t>
  </si>
  <si>
    <t>10 669 NAVARRO CAMPOY, ANAIS DS 2:31:49 +31:55</t>
  </si>
  <si>
    <t>11 437 HUERTAS CASTEJÓN, PAULA DS 2:32:07 +32:13</t>
  </si>
  <si>
    <t>12 734 MOLINA RUBIO, FRANCESCA DV 2:33:29 +33:35</t>
  </si>
  <si>
    <t>13 436 CLAPES ESTEVE, ANNA DS 2:36:00 +36:06</t>
  </si>
  <si>
    <t>14 616 SABATÉ BOVÉ, GEMMA DS 2:36:04 +36:10</t>
  </si>
  <si>
    <t>15 478 MIRAS ALARCÓN, MIRIAM DS 2:36:12 +36:18</t>
  </si>
  <si>
    <t>16 519 ROVIRA ALBERT, ANNA DS 2:36:35 +36:41</t>
  </si>
  <si>
    <t>19 490 GRACIANO RUIZ, MÒNICA DV 2:38:33 +38:39</t>
  </si>
  <si>
    <t>20 431 ZENDRERA DALMAU, IRENE DV 2:39:17 +39:23</t>
  </si>
  <si>
    <t>21 664 REIG MESTRES, SUSANNA DS 2:40:04 +40:10</t>
  </si>
  <si>
    <t>23 693 BENEDICTO PAÑELL, CARLA DS 2:41:14 +41:20</t>
  </si>
  <si>
    <t>24 134 BURGOS CUARTIELLA, EVA DS 2:41:20 +41:26</t>
  </si>
  <si>
    <t>18 575 TORRALBA ESCOBEDO, MARIA DS 2:38:16 +38:22</t>
  </si>
  <si>
    <t>22 283 RODRÍGUEZ GUZMÁN, MÒNICA DS 2:41:03 +41:09</t>
  </si>
  <si>
    <t>9 351 LLORENS WAVEREN, LAURA DS 2:29:54 +30:00</t>
  </si>
  <si>
    <t xml:space="preserve">Data Input Modes. From text to columns </t>
  </si>
  <si>
    <t>Use of:
  'Text to column feature'
  'Flash Fill'</t>
  </si>
  <si>
    <t>ISERN</t>
  </si>
  <si>
    <t>SERRANO</t>
  </si>
  <si>
    <t>MONICA</t>
  </si>
  <si>
    <t>DS</t>
  </si>
  <si>
    <t>+6:42</t>
  </si>
  <si>
    <t>FORN</t>
  </si>
  <si>
    <t>MUNNE</t>
  </si>
  <si>
    <t>TERESA</t>
  </si>
  <si>
    <t>DM</t>
  </si>
  <si>
    <t>+10:58</t>
  </si>
  <si>
    <t>VILLEGAS</t>
  </si>
  <si>
    <t>NURIA</t>
  </si>
  <si>
    <t>DV</t>
  </si>
  <si>
    <t>+13:59</t>
  </si>
  <si>
    <t>GRACIA</t>
  </si>
  <si>
    <t>MARTINEZ</t>
  </si>
  <si>
    <t>CLARA</t>
  </si>
  <si>
    <t>+14:54</t>
  </si>
  <si>
    <t>VILA</t>
  </si>
  <si>
    <t>ESCRICH</t>
  </si>
  <si>
    <t>MÀBEL</t>
  </si>
  <si>
    <t>+15:54</t>
  </si>
  <si>
    <t>BALAGUER</t>
  </si>
  <si>
    <t>VICENT</t>
  </si>
  <si>
    <t>NEUS</t>
  </si>
  <si>
    <t>+18:19</t>
  </si>
  <si>
    <t>LLORENS</t>
  </si>
  <si>
    <t>WAVEREN</t>
  </si>
  <si>
    <t>LAURA</t>
  </si>
  <si>
    <t>+30:00</t>
  </si>
  <si>
    <t>NAVARRO</t>
  </si>
  <si>
    <t>CAMPOY</t>
  </si>
  <si>
    <t>ANAIS</t>
  </si>
  <si>
    <t>+31:55</t>
  </si>
  <si>
    <t>HUERTAS</t>
  </si>
  <si>
    <t>CASTEJÓN</t>
  </si>
  <si>
    <t>PAULA</t>
  </si>
  <si>
    <t>+32:13</t>
  </si>
  <si>
    <t>MOLINA</t>
  </si>
  <si>
    <t>RUBIO</t>
  </si>
  <si>
    <t>FRANCESCA</t>
  </si>
  <si>
    <t>+33:35</t>
  </si>
  <si>
    <t>CLAPES</t>
  </si>
  <si>
    <t>ESTEVE</t>
  </si>
  <si>
    <t>ANNA</t>
  </si>
  <si>
    <t>+36:06</t>
  </si>
  <si>
    <t>SABATÉ</t>
  </si>
  <si>
    <t>BOVÉ</t>
  </si>
  <si>
    <t>GEMMA</t>
  </si>
  <si>
    <t>+36:10</t>
  </si>
  <si>
    <t>MIRAS</t>
  </si>
  <si>
    <t>ALARCÓN</t>
  </si>
  <si>
    <t>MIRIAM</t>
  </si>
  <si>
    <t>+36:18</t>
  </si>
  <si>
    <t>ROVIRA</t>
  </si>
  <si>
    <t>ALBERT</t>
  </si>
  <si>
    <t>+36:41</t>
  </si>
  <si>
    <t>MORALES</t>
  </si>
  <si>
    <t>NATALIA</t>
  </si>
  <si>
    <t>+38:16</t>
  </si>
  <si>
    <t>TORRALBA</t>
  </si>
  <si>
    <t>ESCOBEDO</t>
  </si>
  <si>
    <t>MARIA</t>
  </si>
  <si>
    <t>+38:22</t>
  </si>
  <si>
    <t>GRACIANO</t>
  </si>
  <si>
    <t>RUIZ</t>
  </si>
  <si>
    <t>MÒNICA</t>
  </si>
  <si>
    <t>+38:39</t>
  </si>
  <si>
    <t>ZENDRERA</t>
  </si>
  <si>
    <t>DALMAU</t>
  </si>
  <si>
    <t>IRENE</t>
  </si>
  <si>
    <t>+39:23</t>
  </si>
  <si>
    <t>REIG</t>
  </si>
  <si>
    <t>MESTRES</t>
  </si>
  <si>
    <t>SUSANNA</t>
  </si>
  <si>
    <t>+40:10</t>
  </si>
  <si>
    <t>RODRÍGUEZ</t>
  </si>
  <si>
    <t>GUZMÁN</t>
  </si>
  <si>
    <t>+41:09</t>
  </si>
  <si>
    <t>BENEDICTO</t>
  </si>
  <si>
    <t>PAÑELL</t>
  </si>
  <si>
    <t>CARLA</t>
  </si>
  <si>
    <t>+41:20</t>
  </si>
  <si>
    <t>BURGOS</t>
  </si>
  <si>
    <t>CUARTIELLA</t>
  </si>
  <si>
    <t>EVA</t>
  </si>
  <si>
    <t>+41:26</t>
  </si>
  <si>
    <t>17 47 MORALES GOMEZ, NATALIA DS 2:38:10 +38:16</t>
  </si>
  <si>
    <t>GOMEZ</t>
  </si>
  <si>
    <t>POSITION</t>
  </si>
  <si>
    <t>SURNAME1</t>
  </si>
  <si>
    <t>SURNAME2</t>
  </si>
  <si>
    <t>NAME</t>
  </si>
  <si>
    <t>CATEGORY</t>
  </si>
  <si>
    <t>TIME</t>
  </si>
  <si>
    <t>TIMEGAP</t>
  </si>
  <si>
    <t>Link1</t>
  </si>
  <si>
    <t>More info</t>
  </si>
  <si>
    <t>NUMBER</t>
  </si>
  <si>
    <t>POSITION NUMBER SURNAME1 SURNAME2 NAME CATEGORY TIME TIMEGAP</t>
  </si>
  <si>
    <t>&lt;10</t>
  </si>
  <si>
    <t xml:space="preserve">&lt;10 </t>
  </si>
  <si>
    <t>&gt;5</t>
  </si>
  <si>
    <t>Condition1  (NUMBER = 6)</t>
  </si>
  <si>
    <t>Condition2 (POSITION &lt;10 AND CATEGORY =DS)</t>
  </si>
  <si>
    <t xml:space="preserve">Condition3 (5 &lt; POSITION &lt;10 AND CATEGORY = DS) </t>
  </si>
  <si>
    <t xml:space="preserve">Condition4 (5 &lt; POSITION &lt;10  AND (CATEGORY = DS OR CATEGORY = DM)) </t>
  </si>
  <si>
    <r>
      <t xml:space="preserve">Condition4 </t>
    </r>
    <r>
      <rPr>
        <sz val="11"/>
        <color theme="4"/>
        <rFont val="Calibri"/>
        <family val="2"/>
        <scheme val="minor"/>
      </rPr>
      <t xml:space="preserve">(5 &lt; POSITION &lt;10  AND (CATEGORY = DS OR CATEGORY = DM) AND 10 &lt; NUMBER &lt; 400) </t>
    </r>
  </si>
  <si>
    <t>Sort and filter values in a table</t>
  </si>
  <si>
    <t>Use of:
  Sort
  Filter
  Advanced filter</t>
  </si>
  <si>
    <t>CONTOSO S.A.</t>
  </si>
  <si>
    <t>Name individual cells or group of cells</t>
  </si>
  <si>
    <t>Number_Employees</t>
  </si>
  <si>
    <t>Average_Salary</t>
  </si>
  <si>
    <t>Number_Sites</t>
  </si>
  <si>
    <t>Working_Hours_Year</t>
  </si>
  <si>
    <t>Company_Name</t>
  </si>
  <si>
    <r>
      <t xml:space="preserve">General Data </t>
    </r>
    <r>
      <rPr>
        <sz val="18"/>
        <color theme="8"/>
        <rFont val="Calibri"/>
        <family val="2"/>
        <scheme val="minor"/>
      </rPr>
      <t>(Constants)</t>
    </r>
  </si>
  <si>
    <t>Employees per site</t>
  </si>
  <si>
    <t>Emp_Site1</t>
  </si>
  <si>
    <t>Emp_Site2</t>
  </si>
  <si>
    <t>Emp_Site3</t>
  </si>
  <si>
    <t>Emp_Site4</t>
  </si>
  <si>
    <t>Emp_Site5</t>
  </si>
  <si>
    <t>Emp_Site6</t>
  </si>
  <si>
    <t>Emp_Site7</t>
  </si>
  <si>
    <t>Emp_Site8</t>
  </si>
  <si>
    <t>Emp_Site9</t>
  </si>
  <si>
    <t>Emp_Site10</t>
  </si>
  <si>
    <t xml:space="preserve">Use of labelling and 'Define from selection' features
</t>
  </si>
  <si>
    <t>Cell Naming</t>
  </si>
  <si>
    <t>Basic Data Input</t>
  </si>
  <si>
    <t>Sort and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</si>
</sst>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164" formatCode="_-* #,##0.00\ _€_-;\-* #,##0.00\ _€_-;_-* &quot;-&quot;??\ _€_-;_-@_-"/>
    <numFmt numFmtId="165" formatCode="#,##0.00\ &quot;€&quot;"/>
    <numFmt numFmtId="166" formatCode="_-* #,##0\ _€_-;\-* #,##0\ _€_-;_-* &quot;-&quot;??\ _€_-;_-@_-"/>
    <numFmt numFmtId="167" formatCode="[$-C0A]mmm\-yy;@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[$-F400]h:mm:ss\ AM/PM"/>
  </numFmts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20"/>
      <color theme="0"/>
      <name val="Calibri"/>
      <family val="2"/>
      <scheme val="minor"/>
    </font>
    <font>
      <sz val="10"/>
      <name val="Arial"/>
      <family val="2"/>
    </font>
    <font>
      <sz val="18"/>
      <color theme="8"/>
      <name val="Calibri"/>
      <family val="2"/>
    </font>
    <font>
      <b/>
      <sz val="18"/>
      <color theme="8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b/>
      <sz val="16"/>
      <color theme="5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4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8"/>
      <color theme="8"/>
      <name val="Calibri"/>
      <family val="2"/>
      <scheme val="minor"/>
    </font>
    <font>
      <sz val="14"/>
      <color theme="1"/>
      <name val="Segoe UI"/>
      <family val="2"/>
    </font>
    <font>
      <b/>
      <sz val="14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9" fontId="2" fillId="0" borderId="0" applyFont="0" applyFill="0" applyBorder="0" applyAlignment="0" applyProtection="0"/>
    <xf numFmtId="167" fontId="2" fillId="0" borderId="0"/>
    <xf numFmtId="0" fontId="7" fillId="0" borderId="0"/>
    <xf numFmtId="168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3" fillId="2" borderId="1" xfId="2" applyBorder="1"/>
    <xf numFmtId="165" fontId="0" fillId="0" borderId="1" xfId="0" applyNumberFormat="1" applyBorder="1"/>
    <xf numFmtId="166" fontId="0" fillId="0" borderId="1" xfId="1" applyNumberFormat="1" applyFont="1" applyBorder="1"/>
    <xf numFmtId="0" fontId="5" fillId="2" borderId="1" xfId="2" applyFont="1" applyBorder="1"/>
    <xf numFmtId="165" fontId="4" fillId="0" borderId="1" xfId="0" applyNumberFormat="1" applyFont="1" applyBorder="1"/>
    <xf numFmtId="0" fontId="6" fillId="3" borderId="0" xfId="3" applyFont="1"/>
    <xf numFmtId="0" fontId="3" fillId="2" borderId="1" xfId="2" applyBorder="1" applyAlignment="1">
      <alignment horizontal="left"/>
    </xf>
    <xf numFmtId="0" fontId="3" fillId="2" borderId="1" xfId="2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2" borderId="1" xfId="2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8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9" fontId="0" fillId="0" borderId="0" xfId="4" applyFont="1"/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6" applyFont="1"/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4" borderId="0" xfId="0" applyFont="1" applyFill="1"/>
    <xf numFmtId="0" fontId="15" fillId="4" borderId="0" xfId="0" applyFont="1" applyFill="1" applyAlignment="1">
      <alignment horizontal="left" vertical="top"/>
    </xf>
    <xf numFmtId="0" fontId="13" fillId="0" borderId="0" xfId="0" applyFont="1" applyAlignment="1">
      <alignment horizontal="left" wrapText="1"/>
    </xf>
    <xf numFmtId="21" fontId="0" fillId="0" borderId="0" xfId="0" applyNumberFormat="1"/>
    <xf numFmtId="20" fontId="0" fillId="0" borderId="0" xfId="0" applyNumberFormat="1"/>
    <xf numFmtId="0" fontId="15" fillId="0" borderId="0" xfId="0" applyFont="1" applyAlignment="1">
      <alignment horizontal="left" vertical="top"/>
    </xf>
    <xf numFmtId="0" fontId="16" fillId="0" borderId="0" xfId="10" applyFill="1" applyAlignment="1">
      <alignment horizontal="left" wrapText="1"/>
    </xf>
    <xf numFmtId="0" fontId="13" fillId="0" borderId="0" xfId="0" applyFont="1" applyAlignment="1">
      <alignment horizontal="center" wrapText="1"/>
    </xf>
    <xf numFmtId="2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21" fontId="4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4" fillId="0" borderId="0" xfId="0" applyFont="1"/>
    <xf numFmtId="0" fontId="17" fillId="0" borderId="0" xfId="0" applyFont="1"/>
    <xf numFmtId="166" fontId="0" fillId="0" borderId="0" xfId="1" applyNumberFormat="1" applyFont="1"/>
    <xf numFmtId="166" fontId="0" fillId="0" borderId="0" xfId="1" applyNumberFormat="1" applyFont="1" applyAlignment="1">
      <alignment horizontal="center"/>
    </xf>
    <xf numFmtId="166" fontId="0" fillId="0" borderId="0" xfId="0" applyNumberForma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/>
    </xf>
  </cellXfs>
  <cellStyles count="11">
    <cellStyle name="Accent2" xfId="3" builtinId="33"/>
    <cellStyle name="Comma" xfId="1" builtinId="3"/>
    <cellStyle name="Good" xfId="2" builtinId="26"/>
    <cellStyle name="Hyperlink" xfId="10" builtinId="8"/>
    <cellStyle name="Millares 2" xfId="8" xr:uid="{00000000-0005-0000-0000-000004000000}"/>
    <cellStyle name="Moneda 2" xfId="7" xr:uid="{00000000-0005-0000-0000-000005000000}"/>
    <cellStyle name="Normal" xfId="0" builtinId="0"/>
    <cellStyle name="Normal 2" xfId="6" xr:uid="{00000000-0005-0000-0000-000007000000}"/>
    <cellStyle name="Normal 5" xfId="5" xr:uid="{00000000-0005-0000-0000-000008000000}"/>
    <cellStyle name="Per cent" xfId="4" builtinId="5"/>
    <cellStyle name="Porcentaje 2" xfId="9" xr:uid="{00000000-0005-0000-0000-00000A000000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customDataProps" Target="customData/itemProps1.xml"/></Relationships>
</file>

<file path=xl/customData/_rels/itemProps1.xml.rels><?xml version="1.0" encoding="UTF-8" standalone="yes"?>
<Relationships xmlns="http://schemas.openxmlformats.org/package/2006/relationships"><Relationship Id="rId1" Type="http://schemas.microsoft.com/office/2007/relationships/customData" Target="item1.data"/></Relationships>
</file>

<file path=xl/customData/itemProps1.xml><?xml version="1.0" encoding="utf-8"?>
<datastoreItem xmlns="http://schemas.microsoft.com/office/spreadsheetml/2009/9/main" id="Microsoft_SQLServer_AnalysisService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9526</xdr:rowOff>
    </xdr:from>
    <xdr:to>
      <xdr:col>2</xdr:col>
      <xdr:colOff>381000</xdr:colOff>
      <xdr:row>12</xdr:row>
      <xdr:rowOff>20242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23901"/>
          <a:ext cx="4048125" cy="1725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752475</xdr:colOff>
      <xdr:row>10</xdr:row>
      <xdr:rowOff>19050</xdr:rowOff>
    </xdr:from>
    <xdr:to>
      <xdr:col>12</xdr:col>
      <xdr:colOff>532457</xdr:colOff>
      <xdr:row>16</xdr:row>
      <xdr:rowOff>57002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0" y="2219325"/>
          <a:ext cx="7542857" cy="11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361978</xdr:colOff>
      <xdr:row>4</xdr:row>
      <xdr:rowOff>12636</xdr:rowOff>
    </xdr:to>
    <xdr:sp macro="" textlink="">
      <xdr:nvSpPr>
        <xdr:cNvPr id="2" name="3 Rectángulo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9124978" cy="774636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r>
            <a:rPr lang="es-ES" sz="2400" i="1">
              <a:latin typeface="Segoe UI" pitchFamily="34" charset="0"/>
              <a:ea typeface="Segoe UI" pitchFamily="34" charset="0"/>
              <a:cs typeface="Segoe UI" pitchFamily="34" charset="0"/>
            </a:rPr>
            <a:t>¿How will affect</a:t>
          </a:r>
          <a:r>
            <a:rPr lang="es-ES" sz="2400" i="1" baseline="0">
              <a:latin typeface="Segoe UI" pitchFamily="34" charset="0"/>
              <a:ea typeface="Segoe UI" pitchFamily="34" charset="0"/>
              <a:cs typeface="Segoe UI" pitchFamily="34" charset="0"/>
            </a:rPr>
            <a:t> my benefits if I change the unit cost?</a:t>
          </a:r>
          <a:r>
            <a:rPr lang="es-ES" sz="2400" i="1">
              <a:latin typeface="Segoe UI" pitchFamily="34" charset="0"/>
              <a:ea typeface="Segoe UI" pitchFamily="34" charset="0"/>
              <a:cs typeface="Segoe UI" pitchFamily="34" charset="0"/>
            </a:rPr>
            <a:t> </a:t>
          </a:r>
        </a:p>
        <a:p>
          <a:pPr lvl="1"/>
          <a:r>
            <a:rPr lang="es-ES" sz="1600" i="1">
              <a:latin typeface="Segoe UI" pitchFamily="34" charset="0"/>
              <a:ea typeface="Segoe UI" pitchFamily="34" charset="0"/>
              <a:cs typeface="Segoe UI" pitchFamily="34" charset="0"/>
            </a:rPr>
            <a:t>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Tabla6" displayName="Tabla6" ref="B5:H29" totalsRowShown="0" headerRowDxfId="4">
  <autoFilter ref="B5:H29" xr:uid="{00000000-0009-0000-0100-000010000000}"/>
  <tableColumns count="7">
    <tableColumn id="1" xr3:uid="{00000000-0010-0000-0000-000001000000}" name="Mes"/>
    <tableColumn id="2" xr3:uid="{00000000-0010-0000-0000-000002000000}" name="Año"/>
    <tableColumn id="3" xr3:uid="{00000000-0010-0000-0000-000003000000}" name="Tipo"/>
    <tableColumn id="4" xr3:uid="{00000000-0010-0000-0000-000004000000}" name="Precio Fabricación" dataDxfId="3"/>
    <tableColumn id="5" xr3:uid="{00000000-0010-0000-0000-000005000000}" name="Precio Distribución" dataDxfId="2"/>
    <tableColumn id="6" xr3:uid="{00000000-0010-0000-0000-000006000000}" name="Precio Público"/>
    <tableColumn id="7" xr3:uid="{00000000-0010-0000-0000-000007000000}" name="ID1" dataDxfId="1">
      <calculatedColumnFormula>Tabla6[[#This Row],[Precio Público]]-Tabla6[[#This Row],[Precio Distribución]]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1000000}" name="Tabla218" displayName="Tabla218" ref="J5:K8" totalsRowShown="0" headerRowDxfId="0">
  <autoFilter ref="J5:K8" xr:uid="{00000000-0009-0000-0100-000011000000}"/>
  <tableColumns count="2">
    <tableColumn id="1" xr3:uid="{00000000-0010-0000-0100-000001000000}" name="Método"/>
    <tableColumn id="2" xr3:uid="{00000000-0010-0000-0100-000002000000}" name="Inconvient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upport.office.com/en-us/article/Split-text-into-different-columns-with-the-Convert-Text-to-Columns-Wizard-30b14928-5550-41f5-97ca-7a3e9c363ed7?ui=en-US&amp;rs=en-US&amp;ad=US&amp;fromAR=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support.office.com/en-us/article/Filter-by-using-advanced-criteria-4c9222fe-8529-4cd7-a898-3f16abdff32b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support.office.com/en-us/article/Filter-by-using-advanced-criteria-4c9222fe-8529-4cd7-a898-3f16abdff32b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B3:B24"/>
  <sheetViews>
    <sheetView showGridLines="0" tabSelected="1" topLeftCell="A26" workbookViewId="0">
      <selection activeCell="H17" sqref="H17"/>
    </sheetView>
  </sheetViews>
  <sheetFormatPr defaultColWidth="9" defaultRowHeight="14.5" x14ac:dyDescent="0.35"/>
  <cols>
    <col min="2" max="2" width="57.81640625" style="1" customWidth="1"/>
    <col min="3" max="3" width="10" customWidth="1"/>
    <col min="4" max="4" width="9.453125" customWidth="1"/>
  </cols>
  <sheetData>
    <row r="3" spans="2:2" ht="26" x14ac:dyDescent="0.6">
      <c r="B3" s="22" t="s">
        <v>204</v>
      </c>
    </row>
    <row r="16" spans="2:2" ht="21" x14ac:dyDescent="0.5">
      <c r="B16" s="23"/>
    </row>
    <row r="17" spans="2:2" ht="21" x14ac:dyDescent="0.5">
      <c r="B17" s="24" t="s">
        <v>204</v>
      </c>
    </row>
    <row r="18" spans="2:2" ht="21" x14ac:dyDescent="0.5">
      <c r="B18" s="24" t="s">
        <v>205</v>
      </c>
    </row>
    <row r="19" spans="2:2" ht="21" x14ac:dyDescent="0.5">
      <c r="B19" s="24" t="s">
        <v>206</v>
      </c>
    </row>
    <row r="20" spans="2:2" ht="21" x14ac:dyDescent="0.5">
      <c r="B20" s="24"/>
    </row>
    <row r="21" spans="2:2" ht="21" x14ac:dyDescent="0.5">
      <c r="B21" s="24"/>
    </row>
    <row r="22" spans="2:2" ht="21" x14ac:dyDescent="0.5">
      <c r="B22" s="24"/>
    </row>
    <row r="23" spans="2:2" ht="21" x14ac:dyDescent="0.5">
      <c r="B23" s="24"/>
    </row>
    <row r="24" spans="2:2" ht="21" x14ac:dyDescent="0.5">
      <c r="B24" s="24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B2:M38"/>
  <sheetViews>
    <sheetView workbookViewId="0"/>
  </sheetViews>
  <sheetFormatPr defaultColWidth="11.453125" defaultRowHeight="14.5" x14ac:dyDescent="0.35"/>
  <cols>
    <col min="2" max="2" width="24.1796875" style="40" customWidth="1"/>
    <col min="3" max="3" width="15.1796875" style="42" customWidth="1"/>
    <col min="12" max="12" width="12.26953125" customWidth="1"/>
  </cols>
  <sheetData>
    <row r="2" spans="2:9" ht="18.5" x14ac:dyDescent="0.45">
      <c r="B2" s="27" t="s">
        <v>49</v>
      </c>
      <c r="C2" s="25" t="s">
        <v>185</v>
      </c>
    </row>
    <row r="3" spans="2:9" ht="18.5" x14ac:dyDescent="0.45">
      <c r="B3" s="26"/>
      <c r="C3"/>
    </row>
    <row r="4" spans="2:9" ht="35.25" customHeight="1" x14ac:dyDescent="0.35">
      <c r="B4" s="28" t="s">
        <v>50</v>
      </c>
      <c r="C4" s="48" t="s">
        <v>203</v>
      </c>
      <c r="D4" s="48"/>
      <c r="E4" s="48"/>
      <c r="F4" s="48"/>
      <c r="G4" s="48"/>
      <c r="H4" s="48"/>
      <c r="I4" s="48"/>
    </row>
    <row r="9" spans="2:9" ht="23.5" x14ac:dyDescent="0.55000000000000004">
      <c r="B9" s="21" t="s">
        <v>191</v>
      </c>
    </row>
    <row r="11" spans="2:9" x14ac:dyDescent="0.35">
      <c r="B11" s="40" t="s">
        <v>186</v>
      </c>
      <c r="C11" s="42">
        <v>1000</v>
      </c>
    </row>
    <row r="12" spans="2:9" x14ac:dyDescent="0.35">
      <c r="B12" s="40" t="s">
        <v>187</v>
      </c>
      <c r="C12" s="42">
        <v>45000</v>
      </c>
    </row>
    <row r="13" spans="2:9" x14ac:dyDescent="0.35">
      <c r="B13" s="40" t="s">
        <v>188</v>
      </c>
      <c r="C13" s="42">
        <v>10</v>
      </c>
    </row>
    <row r="14" spans="2:9" x14ac:dyDescent="0.35">
      <c r="B14" s="40" t="s">
        <v>189</v>
      </c>
      <c r="C14" s="42">
        <v>1760</v>
      </c>
    </row>
    <row r="15" spans="2:9" x14ac:dyDescent="0.35">
      <c r="B15" s="40" t="s">
        <v>190</v>
      </c>
      <c r="C15" s="42" t="s">
        <v>184</v>
      </c>
    </row>
    <row r="19" spans="2:13" ht="23.5" x14ac:dyDescent="0.55000000000000004">
      <c r="B19" s="21" t="s">
        <v>192</v>
      </c>
    </row>
    <row r="20" spans="2:13" x14ac:dyDescent="0.35">
      <c r="C20" s="37" t="s">
        <v>193</v>
      </c>
      <c r="D20" s="37" t="s">
        <v>194</v>
      </c>
      <c r="E20" s="37" t="s">
        <v>195</v>
      </c>
      <c r="F20" s="37" t="s">
        <v>196</v>
      </c>
      <c r="G20" s="37" t="s">
        <v>197</v>
      </c>
      <c r="H20" s="37" t="s">
        <v>198</v>
      </c>
      <c r="I20" s="37" t="s">
        <v>199</v>
      </c>
      <c r="J20" s="37" t="s">
        <v>200</v>
      </c>
      <c r="K20" s="37" t="s">
        <v>201</v>
      </c>
      <c r="L20" s="37" t="s">
        <v>202</v>
      </c>
    </row>
    <row r="21" spans="2:13" x14ac:dyDescent="0.35">
      <c r="C21" s="43">
        <v>90</v>
      </c>
      <c r="D21" s="1">
        <v>150</v>
      </c>
      <c r="E21" s="1">
        <v>25</v>
      </c>
      <c r="F21" s="1">
        <v>300</v>
      </c>
      <c r="G21" s="1">
        <v>110</v>
      </c>
      <c r="H21" s="1">
        <v>35</v>
      </c>
      <c r="I21" s="1">
        <v>67</v>
      </c>
      <c r="J21" s="1">
        <v>45</v>
      </c>
      <c r="K21" s="1">
        <v>108</v>
      </c>
      <c r="L21" s="1">
        <v>70</v>
      </c>
      <c r="M21" s="44"/>
    </row>
    <row r="24" spans="2:13" x14ac:dyDescent="0.35">
      <c r="I24" s="40"/>
      <c r="J24" s="40"/>
    </row>
    <row r="25" spans="2:13" x14ac:dyDescent="0.35">
      <c r="I25" s="42"/>
    </row>
    <row r="26" spans="2:13" x14ac:dyDescent="0.35">
      <c r="I26" s="42"/>
    </row>
    <row r="27" spans="2:13" x14ac:dyDescent="0.35">
      <c r="D27" s="42"/>
      <c r="E27" s="42"/>
      <c r="F27" s="42"/>
      <c r="G27" s="42"/>
      <c r="H27" s="42"/>
      <c r="I27" s="42"/>
    </row>
    <row r="37" spans="7:7" ht="21" x14ac:dyDescent="0.35">
      <c r="G37" s="45"/>
    </row>
    <row r="38" spans="7:7" ht="21" x14ac:dyDescent="0.35">
      <c r="G38" s="46"/>
    </row>
  </sheetData>
  <mergeCells count="1">
    <mergeCell ref="C4:I4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2:L29"/>
  <sheetViews>
    <sheetView workbookViewId="0"/>
  </sheetViews>
  <sheetFormatPr defaultColWidth="11.453125" defaultRowHeight="14.5" x14ac:dyDescent="0.35"/>
  <cols>
    <col min="2" max="2" width="26" bestFit="1" customWidth="1"/>
    <col min="3" max="3" width="7" customWidth="1"/>
    <col min="4" max="4" width="6" customWidth="1"/>
    <col min="5" max="5" width="65.7265625" customWidth="1"/>
  </cols>
  <sheetData>
    <row r="2" spans="2:12" ht="18.5" x14ac:dyDescent="0.45">
      <c r="B2" s="27" t="s">
        <v>49</v>
      </c>
      <c r="C2" s="25" t="s">
        <v>72</v>
      </c>
    </row>
    <row r="3" spans="2:12" ht="18.5" x14ac:dyDescent="0.45">
      <c r="B3" s="26"/>
    </row>
    <row r="4" spans="2:12" ht="50.25" customHeight="1" x14ac:dyDescent="0.35">
      <c r="B4" s="28" t="s">
        <v>50</v>
      </c>
      <c r="C4" s="48" t="s">
        <v>73</v>
      </c>
      <c r="D4" s="48"/>
      <c r="E4" s="48"/>
      <c r="F4" s="47"/>
      <c r="G4" s="47"/>
      <c r="H4" s="47"/>
      <c r="I4" s="47"/>
      <c r="J4" s="47"/>
      <c r="K4" s="47"/>
      <c r="L4" s="47"/>
    </row>
    <row r="5" spans="2:12" ht="18.5" x14ac:dyDescent="0.35">
      <c r="B5" s="32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2:12" ht="18.5" x14ac:dyDescent="0.35">
      <c r="B6" s="32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2:12" x14ac:dyDescent="0.35">
      <c r="E7" t="s">
        <v>173</v>
      </c>
    </row>
    <row r="8" spans="2:12" x14ac:dyDescent="0.35">
      <c r="E8" t="s">
        <v>51</v>
      </c>
    </row>
    <row r="9" spans="2:12" x14ac:dyDescent="0.35">
      <c r="E9" t="s">
        <v>52</v>
      </c>
    </row>
    <row r="10" spans="2:12" x14ac:dyDescent="0.35">
      <c r="E10" t="s">
        <v>53</v>
      </c>
      <c r="I10" s="30"/>
      <c r="J10" s="31"/>
    </row>
    <row r="11" spans="2:12" x14ac:dyDescent="0.35">
      <c r="E11" t="s">
        <v>54</v>
      </c>
      <c r="I11" s="30"/>
    </row>
    <row r="12" spans="2:12" x14ac:dyDescent="0.35">
      <c r="E12" t="s">
        <v>55</v>
      </c>
      <c r="J12" s="30"/>
    </row>
    <row r="13" spans="2:12" x14ac:dyDescent="0.35">
      <c r="E13" t="s">
        <v>56</v>
      </c>
      <c r="J13" s="30"/>
    </row>
    <row r="14" spans="2:12" x14ac:dyDescent="0.35">
      <c r="E14" t="s">
        <v>71</v>
      </c>
      <c r="J14" s="30"/>
    </row>
    <row r="15" spans="2:12" x14ac:dyDescent="0.35">
      <c r="E15" t="s">
        <v>57</v>
      </c>
      <c r="J15" s="30"/>
    </row>
    <row r="16" spans="2:12" x14ac:dyDescent="0.35">
      <c r="E16" t="s">
        <v>58</v>
      </c>
      <c r="J16" s="30"/>
    </row>
    <row r="17" spans="5:11" x14ac:dyDescent="0.35">
      <c r="E17" t="s">
        <v>59</v>
      </c>
      <c r="J17" s="30"/>
    </row>
    <row r="18" spans="5:11" x14ac:dyDescent="0.35">
      <c r="E18" t="s">
        <v>60</v>
      </c>
      <c r="K18" s="30"/>
    </row>
    <row r="19" spans="5:11" x14ac:dyDescent="0.35">
      <c r="E19" t="s">
        <v>61</v>
      </c>
      <c r="J19" s="30"/>
    </row>
    <row r="20" spans="5:11" x14ac:dyDescent="0.35">
      <c r="E20" t="s">
        <v>62</v>
      </c>
      <c r="J20" s="30"/>
    </row>
    <row r="21" spans="5:11" x14ac:dyDescent="0.35">
      <c r="E21" t="s">
        <v>63</v>
      </c>
      <c r="J21" s="30"/>
    </row>
    <row r="22" spans="5:11" x14ac:dyDescent="0.35">
      <c r="E22" t="s">
        <v>161</v>
      </c>
      <c r="J22" s="30"/>
    </row>
    <row r="23" spans="5:11" x14ac:dyDescent="0.35">
      <c r="E23" t="s">
        <v>69</v>
      </c>
      <c r="J23" s="30"/>
    </row>
    <row r="24" spans="5:11" x14ac:dyDescent="0.35">
      <c r="E24" t="s">
        <v>64</v>
      </c>
      <c r="J24" s="30"/>
    </row>
    <row r="25" spans="5:11" x14ac:dyDescent="0.35">
      <c r="E25" t="s">
        <v>65</v>
      </c>
    </row>
    <row r="26" spans="5:11" x14ac:dyDescent="0.35">
      <c r="E26" t="s">
        <v>66</v>
      </c>
    </row>
    <row r="27" spans="5:11" x14ac:dyDescent="0.35">
      <c r="E27" t="s">
        <v>70</v>
      </c>
    </row>
    <row r="28" spans="5:11" x14ac:dyDescent="0.35">
      <c r="E28" t="s">
        <v>67</v>
      </c>
    </row>
    <row r="29" spans="5:11" x14ac:dyDescent="0.35">
      <c r="E29" t="s">
        <v>68</v>
      </c>
    </row>
  </sheetData>
  <mergeCells count="1">
    <mergeCell ref="C4:E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7" tint="-0.499984740745262"/>
  </sheetPr>
  <dimension ref="B2:K57"/>
  <sheetViews>
    <sheetView workbookViewId="0"/>
  </sheetViews>
  <sheetFormatPr defaultColWidth="11.453125" defaultRowHeight="14.5" x14ac:dyDescent="0.35"/>
  <cols>
    <col min="1" max="1" width="7.54296875" customWidth="1"/>
    <col min="5" max="5" width="21.54296875" customWidth="1"/>
    <col min="6" max="6" width="22.453125" customWidth="1"/>
    <col min="7" max="7" width="18.26953125" customWidth="1"/>
    <col min="10" max="10" width="54.7265625" customWidth="1"/>
    <col min="11" max="11" width="38.81640625" customWidth="1"/>
  </cols>
  <sheetData>
    <row r="2" spans="2:11" ht="23.5" x14ac:dyDescent="0.55000000000000004">
      <c r="B2" s="20" t="s">
        <v>48</v>
      </c>
      <c r="J2" s="21" t="s">
        <v>27</v>
      </c>
    </row>
    <row r="3" spans="2:11" ht="23.5" x14ac:dyDescent="0.55000000000000004">
      <c r="B3" s="21"/>
    </row>
    <row r="5" spans="2:11" s="18" customFormat="1" ht="21.75" customHeight="1" x14ac:dyDescent="0.35">
      <c r="B5" s="18" t="s">
        <v>47</v>
      </c>
      <c r="C5" s="18" t="s">
        <v>37</v>
      </c>
      <c r="D5" s="18" t="s">
        <v>38</v>
      </c>
      <c r="E5" s="18" t="s">
        <v>45</v>
      </c>
      <c r="F5" s="18" t="s">
        <v>46</v>
      </c>
      <c r="G5" s="18" t="s">
        <v>39</v>
      </c>
      <c r="H5" s="18" t="s">
        <v>28</v>
      </c>
      <c r="J5" s="19" t="s">
        <v>29</v>
      </c>
      <c r="K5" s="19" t="s">
        <v>30</v>
      </c>
    </row>
    <row r="6" spans="2:11" x14ac:dyDescent="0.35">
      <c r="B6" t="s">
        <v>15</v>
      </c>
      <c r="C6">
        <v>2007</v>
      </c>
      <c r="D6" t="s">
        <v>40</v>
      </c>
      <c r="E6" s="1">
        <v>41</v>
      </c>
      <c r="F6" s="1">
        <v>34</v>
      </c>
      <c r="G6">
        <v>113</v>
      </c>
      <c r="H6">
        <f>Tabla6[[#This Row],[Precio Público]]-Tabla6[[#This Row],[Precio Distribución]]</f>
        <v>79</v>
      </c>
      <c r="J6" t="s">
        <v>31</v>
      </c>
      <c r="K6" t="s">
        <v>32</v>
      </c>
    </row>
    <row r="7" spans="2:11" x14ac:dyDescent="0.35">
      <c r="B7" t="s">
        <v>16</v>
      </c>
      <c r="C7">
        <v>2007</v>
      </c>
      <c r="D7" t="s">
        <v>41</v>
      </c>
      <c r="E7" s="1">
        <v>29</v>
      </c>
      <c r="F7" s="1">
        <v>116</v>
      </c>
      <c r="G7">
        <v>118</v>
      </c>
      <c r="H7">
        <f>Tabla6[[#This Row],[Precio Público]]-Tabla6[[#This Row],[Precio Distribución]]</f>
        <v>2</v>
      </c>
      <c r="J7" t="s">
        <v>33</v>
      </c>
      <c r="K7" t="s">
        <v>34</v>
      </c>
    </row>
    <row r="8" spans="2:11" x14ac:dyDescent="0.35">
      <c r="B8" t="s">
        <v>17</v>
      </c>
      <c r="C8">
        <v>2007</v>
      </c>
      <c r="D8" t="s">
        <v>42</v>
      </c>
      <c r="E8" s="1">
        <v>18</v>
      </c>
      <c r="F8" s="1">
        <v>88</v>
      </c>
      <c r="G8">
        <v>98</v>
      </c>
      <c r="H8">
        <f>Tabla6[[#This Row],[Precio Público]]-Tabla6[[#This Row],[Precio Distribución]]</f>
        <v>10</v>
      </c>
      <c r="J8" t="s">
        <v>35</v>
      </c>
      <c r="K8" t="s">
        <v>36</v>
      </c>
    </row>
    <row r="9" spans="2:11" x14ac:dyDescent="0.35">
      <c r="B9" t="s">
        <v>18</v>
      </c>
      <c r="C9">
        <v>2007</v>
      </c>
      <c r="D9" t="s">
        <v>43</v>
      </c>
      <c r="E9" s="1">
        <v>104</v>
      </c>
      <c r="F9" s="1">
        <v>28</v>
      </c>
      <c r="G9">
        <v>91</v>
      </c>
      <c r="H9">
        <f>Tabla6[[#This Row],[Precio Público]]-Tabla6[[#This Row],[Precio Distribución]]</f>
        <v>63</v>
      </c>
    </row>
    <row r="10" spans="2:11" x14ac:dyDescent="0.35">
      <c r="B10" t="s">
        <v>19</v>
      </c>
      <c r="C10">
        <v>2007</v>
      </c>
      <c r="D10" t="s">
        <v>44</v>
      </c>
      <c r="E10" s="1">
        <v>54</v>
      </c>
      <c r="F10" s="1">
        <v>43</v>
      </c>
      <c r="G10">
        <v>39</v>
      </c>
      <c r="H10">
        <f>Tabla6[[#This Row],[Precio Público]]-Tabla6[[#This Row],[Precio Distribución]]</f>
        <v>-4</v>
      </c>
    </row>
    <row r="11" spans="2:11" x14ac:dyDescent="0.35">
      <c r="B11" t="s">
        <v>20</v>
      </c>
      <c r="C11">
        <v>2007</v>
      </c>
      <c r="D11" t="s">
        <v>40</v>
      </c>
      <c r="E11" s="1">
        <v>27</v>
      </c>
      <c r="F11" s="1">
        <v>27</v>
      </c>
      <c r="G11">
        <v>62</v>
      </c>
      <c r="H11">
        <f>Tabla6[[#This Row],[Precio Público]]-Tabla6[[#This Row],[Precio Distribución]]</f>
        <v>35</v>
      </c>
    </row>
    <row r="12" spans="2:11" x14ac:dyDescent="0.35">
      <c r="B12" t="s">
        <v>21</v>
      </c>
      <c r="C12">
        <v>2007</v>
      </c>
      <c r="D12" t="s">
        <v>41</v>
      </c>
      <c r="E12" s="1">
        <v>50</v>
      </c>
      <c r="F12" s="1">
        <v>90</v>
      </c>
      <c r="G12">
        <v>90</v>
      </c>
      <c r="H12">
        <f>Tabla6[[#This Row],[Precio Público]]-Tabla6[[#This Row],[Precio Distribución]]</f>
        <v>0</v>
      </c>
    </row>
    <row r="13" spans="2:11" x14ac:dyDescent="0.35">
      <c r="B13" t="s">
        <v>22</v>
      </c>
      <c r="C13">
        <v>2007</v>
      </c>
      <c r="D13" t="s">
        <v>42</v>
      </c>
      <c r="E13" s="1">
        <v>65</v>
      </c>
      <c r="F13" s="1">
        <v>51</v>
      </c>
      <c r="G13">
        <v>70</v>
      </c>
      <c r="H13">
        <f>Tabla6[[#This Row],[Precio Público]]-Tabla6[[#This Row],[Precio Distribución]]</f>
        <v>19</v>
      </c>
    </row>
    <row r="14" spans="2:11" x14ac:dyDescent="0.35">
      <c r="B14" t="s">
        <v>23</v>
      </c>
      <c r="C14">
        <v>2007</v>
      </c>
      <c r="D14" t="s">
        <v>43</v>
      </c>
      <c r="E14" s="1">
        <v>73</v>
      </c>
      <c r="F14" s="1">
        <v>61</v>
      </c>
      <c r="G14">
        <v>40</v>
      </c>
      <c r="H14">
        <f>Tabla6[[#This Row],[Precio Público]]-Tabla6[[#This Row],[Precio Distribución]]</f>
        <v>-21</v>
      </c>
    </row>
    <row r="15" spans="2:11" x14ac:dyDescent="0.35">
      <c r="B15" t="s">
        <v>24</v>
      </c>
      <c r="C15">
        <v>2007</v>
      </c>
      <c r="D15" t="s">
        <v>44</v>
      </c>
      <c r="E15" s="1">
        <v>71</v>
      </c>
      <c r="F15" s="1">
        <v>46</v>
      </c>
      <c r="G15">
        <v>43</v>
      </c>
      <c r="H15">
        <f>Tabla6[[#This Row],[Precio Público]]-Tabla6[[#This Row],[Precio Distribución]]</f>
        <v>-3</v>
      </c>
    </row>
    <row r="16" spans="2:11" x14ac:dyDescent="0.35">
      <c r="B16" t="s">
        <v>25</v>
      </c>
      <c r="C16">
        <v>2007</v>
      </c>
      <c r="D16" t="s">
        <v>40</v>
      </c>
      <c r="E16" s="1">
        <v>31</v>
      </c>
      <c r="F16" s="1">
        <v>39</v>
      </c>
      <c r="G16">
        <v>102</v>
      </c>
      <c r="H16">
        <f>Tabla6[[#This Row],[Precio Público]]-Tabla6[[#This Row],[Precio Distribución]]</f>
        <v>63</v>
      </c>
    </row>
    <row r="17" spans="2:8" x14ac:dyDescent="0.35">
      <c r="B17" t="s">
        <v>26</v>
      </c>
      <c r="C17">
        <v>2007</v>
      </c>
      <c r="D17" t="s">
        <v>41</v>
      </c>
      <c r="E17" s="1">
        <v>117</v>
      </c>
      <c r="F17" s="1">
        <v>30</v>
      </c>
      <c r="G17">
        <v>23</v>
      </c>
      <c r="H17">
        <f>Tabla6[[#This Row],[Precio Público]]-Tabla6[[#This Row],[Precio Distribución]]</f>
        <v>-7</v>
      </c>
    </row>
    <row r="18" spans="2:8" x14ac:dyDescent="0.35">
      <c r="B18" t="s">
        <v>15</v>
      </c>
      <c r="C18">
        <v>2008</v>
      </c>
      <c r="D18" t="s">
        <v>42</v>
      </c>
      <c r="E18" s="1">
        <v>113</v>
      </c>
      <c r="F18" s="1">
        <v>50</v>
      </c>
      <c r="G18">
        <v>123</v>
      </c>
      <c r="H18">
        <f>Tabla6[[#This Row],[Precio Público]]-Tabla6[[#This Row],[Precio Distribución]]</f>
        <v>73</v>
      </c>
    </row>
    <row r="19" spans="2:8" x14ac:dyDescent="0.35">
      <c r="B19" t="s">
        <v>16</v>
      </c>
      <c r="C19">
        <v>2008</v>
      </c>
      <c r="D19" t="s">
        <v>43</v>
      </c>
      <c r="E19" s="1">
        <v>20</v>
      </c>
      <c r="F19" s="1">
        <v>74</v>
      </c>
      <c r="G19">
        <v>59</v>
      </c>
      <c r="H19">
        <f>Tabla6[[#This Row],[Precio Público]]-Tabla6[[#This Row],[Precio Distribución]]</f>
        <v>-15</v>
      </c>
    </row>
    <row r="20" spans="2:8" x14ac:dyDescent="0.35">
      <c r="B20" t="s">
        <v>17</v>
      </c>
      <c r="C20">
        <v>2008</v>
      </c>
      <c r="D20" t="s">
        <v>44</v>
      </c>
      <c r="E20" s="1">
        <v>105</v>
      </c>
      <c r="F20" s="1">
        <v>115</v>
      </c>
      <c r="G20">
        <v>78</v>
      </c>
      <c r="H20">
        <f>Tabla6[[#This Row],[Precio Público]]-Tabla6[[#This Row],[Precio Distribución]]</f>
        <v>-37</v>
      </c>
    </row>
    <row r="21" spans="2:8" x14ac:dyDescent="0.35">
      <c r="B21" t="s">
        <v>18</v>
      </c>
      <c r="C21">
        <v>2008</v>
      </c>
      <c r="D21" t="s">
        <v>40</v>
      </c>
      <c r="E21" s="1">
        <v>39</v>
      </c>
      <c r="F21" s="1">
        <v>70</v>
      </c>
      <c r="G21">
        <v>81</v>
      </c>
      <c r="H21">
        <f>Tabla6[[#This Row],[Precio Público]]-Tabla6[[#This Row],[Precio Distribución]]</f>
        <v>11</v>
      </c>
    </row>
    <row r="22" spans="2:8" x14ac:dyDescent="0.35">
      <c r="B22" t="s">
        <v>19</v>
      </c>
      <c r="C22">
        <v>2008</v>
      </c>
      <c r="D22" t="s">
        <v>41</v>
      </c>
      <c r="E22" s="1">
        <v>41</v>
      </c>
      <c r="F22" s="1">
        <v>81</v>
      </c>
      <c r="G22">
        <v>52</v>
      </c>
      <c r="H22">
        <f>Tabla6[[#This Row],[Precio Público]]-Tabla6[[#This Row],[Precio Distribución]]</f>
        <v>-29</v>
      </c>
    </row>
    <row r="23" spans="2:8" x14ac:dyDescent="0.35">
      <c r="B23" t="s">
        <v>20</v>
      </c>
      <c r="C23">
        <v>2008</v>
      </c>
      <c r="D23" t="s">
        <v>42</v>
      </c>
      <c r="E23" s="1">
        <v>61</v>
      </c>
      <c r="F23" s="1">
        <v>31</v>
      </c>
      <c r="G23">
        <v>81</v>
      </c>
      <c r="H23">
        <f>Tabla6[[#This Row],[Precio Público]]-Tabla6[[#This Row],[Precio Distribución]]</f>
        <v>50</v>
      </c>
    </row>
    <row r="24" spans="2:8" x14ac:dyDescent="0.35">
      <c r="B24" t="s">
        <v>21</v>
      </c>
      <c r="C24">
        <v>2008</v>
      </c>
      <c r="D24" t="s">
        <v>43</v>
      </c>
      <c r="E24" s="1">
        <v>72</v>
      </c>
      <c r="F24" s="1">
        <v>62</v>
      </c>
      <c r="G24">
        <v>39</v>
      </c>
      <c r="H24">
        <f>Tabla6[[#This Row],[Precio Público]]-Tabla6[[#This Row],[Precio Distribución]]</f>
        <v>-23</v>
      </c>
    </row>
    <row r="25" spans="2:8" x14ac:dyDescent="0.35">
      <c r="B25" t="s">
        <v>22</v>
      </c>
      <c r="C25">
        <v>2008</v>
      </c>
      <c r="D25" t="s">
        <v>44</v>
      </c>
      <c r="E25" s="1">
        <v>63</v>
      </c>
      <c r="F25" s="1">
        <v>115</v>
      </c>
      <c r="G25">
        <v>30</v>
      </c>
      <c r="H25">
        <f>Tabla6[[#This Row],[Precio Público]]-Tabla6[[#This Row],[Precio Distribución]]</f>
        <v>-85</v>
      </c>
    </row>
    <row r="26" spans="2:8" x14ac:dyDescent="0.35">
      <c r="B26" t="s">
        <v>23</v>
      </c>
      <c r="C26">
        <v>2008</v>
      </c>
      <c r="D26" t="s">
        <v>40</v>
      </c>
      <c r="E26" s="1">
        <v>93</v>
      </c>
      <c r="F26" s="1">
        <v>28</v>
      </c>
      <c r="G26">
        <v>86</v>
      </c>
      <c r="H26">
        <f>Tabla6[[#This Row],[Precio Público]]-Tabla6[[#This Row],[Precio Distribución]]</f>
        <v>58</v>
      </c>
    </row>
    <row r="27" spans="2:8" x14ac:dyDescent="0.35">
      <c r="B27" t="s">
        <v>24</v>
      </c>
      <c r="C27">
        <v>2008</v>
      </c>
      <c r="D27" t="s">
        <v>41</v>
      </c>
      <c r="E27" s="1">
        <v>97</v>
      </c>
      <c r="F27" s="1">
        <v>123</v>
      </c>
      <c r="G27">
        <v>43</v>
      </c>
      <c r="H27">
        <f>Tabla6[[#This Row],[Precio Público]]-Tabla6[[#This Row],[Precio Distribución]]</f>
        <v>-80</v>
      </c>
    </row>
    <row r="28" spans="2:8" x14ac:dyDescent="0.35">
      <c r="B28" t="s">
        <v>25</v>
      </c>
      <c r="C28">
        <v>2008</v>
      </c>
      <c r="D28" t="s">
        <v>42</v>
      </c>
      <c r="E28" s="1">
        <v>88</v>
      </c>
      <c r="F28" s="1">
        <v>44</v>
      </c>
      <c r="G28">
        <v>89</v>
      </c>
      <c r="H28">
        <f>Tabla6[[#This Row],[Precio Público]]-Tabla6[[#This Row],[Precio Distribución]]</f>
        <v>45</v>
      </c>
    </row>
    <row r="29" spans="2:8" x14ac:dyDescent="0.35">
      <c r="B29" t="s">
        <v>26</v>
      </c>
      <c r="C29">
        <v>2008</v>
      </c>
      <c r="D29" t="s">
        <v>43</v>
      </c>
      <c r="E29" s="1">
        <v>21</v>
      </c>
      <c r="F29" s="1">
        <v>98</v>
      </c>
      <c r="G29">
        <v>62</v>
      </c>
      <c r="H29">
        <f>Tabla6[[#This Row],[Precio Público]]-Tabla6[[#This Row],[Precio Distribución]]</f>
        <v>-36</v>
      </c>
    </row>
    <row r="33" spans="2:7" x14ac:dyDescent="0.35">
      <c r="B33" s="18"/>
      <c r="C33" s="18"/>
      <c r="D33" s="18"/>
      <c r="E33" s="18"/>
      <c r="F33" s="18"/>
      <c r="G33" s="18"/>
    </row>
    <row r="34" spans="2:7" x14ac:dyDescent="0.35">
      <c r="E34" s="1"/>
      <c r="F34" s="1"/>
    </row>
    <row r="35" spans="2:7" x14ac:dyDescent="0.35">
      <c r="E35" s="1"/>
      <c r="F35" s="1"/>
    </row>
    <row r="36" spans="2:7" x14ac:dyDescent="0.35">
      <c r="E36" s="1"/>
      <c r="F36" s="1"/>
    </row>
    <row r="37" spans="2:7" x14ac:dyDescent="0.35">
      <c r="E37" s="1"/>
      <c r="F37" s="1"/>
    </row>
    <row r="38" spans="2:7" x14ac:dyDescent="0.35">
      <c r="E38" s="1"/>
      <c r="F38" s="1"/>
    </row>
    <row r="39" spans="2:7" x14ac:dyDescent="0.35">
      <c r="E39" s="1"/>
      <c r="F39" s="1"/>
    </row>
    <row r="40" spans="2:7" x14ac:dyDescent="0.35">
      <c r="E40" s="1"/>
      <c r="F40" s="1"/>
    </row>
    <row r="41" spans="2:7" x14ac:dyDescent="0.35">
      <c r="E41" s="1"/>
      <c r="F41" s="1"/>
    </row>
    <row r="42" spans="2:7" x14ac:dyDescent="0.35">
      <c r="E42" s="1"/>
      <c r="F42" s="1"/>
    </row>
    <row r="43" spans="2:7" x14ac:dyDescent="0.35">
      <c r="E43" s="1"/>
      <c r="F43" s="1"/>
    </row>
    <row r="44" spans="2:7" x14ac:dyDescent="0.35">
      <c r="E44" s="1"/>
      <c r="F44" s="1"/>
    </row>
    <row r="45" spans="2:7" x14ac:dyDescent="0.35">
      <c r="E45" s="1"/>
      <c r="F45" s="1"/>
    </row>
    <row r="46" spans="2:7" x14ac:dyDescent="0.35">
      <c r="E46" s="1"/>
      <c r="F46" s="1"/>
    </row>
    <row r="47" spans="2:7" x14ac:dyDescent="0.35">
      <c r="E47" s="1"/>
      <c r="F47" s="1"/>
    </row>
    <row r="48" spans="2:7" x14ac:dyDescent="0.35">
      <c r="E48" s="1"/>
      <c r="F48" s="1"/>
    </row>
    <row r="49" spans="5:6" x14ac:dyDescent="0.35">
      <c r="E49" s="1"/>
      <c r="F49" s="1"/>
    </row>
    <row r="50" spans="5:6" x14ac:dyDescent="0.35">
      <c r="E50" s="1"/>
      <c r="F50" s="1"/>
    </row>
    <row r="51" spans="5:6" x14ac:dyDescent="0.35">
      <c r="E51" s="1"/>
      <c r="F51" s="1"/>
    </row>
    <row r="52" spans="5:6" x14ac:dyDescent="0.35">
      <c r="E52" s="1"/>
      <c r="F52" s="1"/>
    </row>
    <row r="53" spans="5:6" x14ac:dyDescent="0.35">
      <c r="E53" s="1"/>
      <c r="F53" s="1"/>
    </row>
    <row r="54" spans="5:6" x14ac:dyDescent="0.35">
      <c r="E54" s="1"/>
      <c r="F54" s="1"/>
    </row>
    <row r="55" spans="5:6" x14ac:dyDescent="0.35">
      <c r="E55" s="1"/>
      <c r="F55" s="1"/>
    </row>
    <row r="56" spans="5:6" x14ac:dyDescent="0.35">
      <c r="E56" s="1"/>
      <c r="F56" s="1"/>
    </row>
    <row r="57" spans="5:6" x14ac:dyDescent="0.35">
      <c r="E57" s="1"/>
      <c r="F57" s="1"/>
    </row>
  </sheetData>
  <conditionalFormatting sqref="H6:H29">
    <cfRule type="iconSet" priority="18">
      <iconSet iconSet="3Arrows" showValue="0">
        <cfvo type="percent" val="0"/>
        <cfvo type="num" val="0"/>
        <cfvo type="num" val="0" gte="0"/>
      </iconSet>
    </cfRule>
  </conditionalFormatting>
  <conditionalFormatting sqref="G6">
    <cfRule type="iconSet" priority="17">
      <iconSet iconSet="3Arrows">
        <cfvo type="percent" val="0"/>
        <cfvo type="formula" val="$F$6"/>
        <cfvo type="formula" val="$F$6" gte="0"/>
      </iconSet>
    </cfRule>
  </conditionalFormatting>
  <conditionalFormatting sqref="G7">
    <cfRule type="iconSet" priority="16">
      <iconSet iconSet="3Arrows">
        <cfvo type="percent" val="0"/>
        <cfvo type="formula" val="$F$7"/>
        <cfvo type="formula" val="$F$7" gte="0"/>
      </iconSet>
    </cfRule>
  </conditionalFormatting>
  <conditionalFormatting sqref="G10">
    <cfRule type="iconSet" priority="15">
      <iconSet iconSet="3Arrows">
        <cfvo type="percent" val="0"/>
        <cfvo type="formula" val="$F$10"/>
        <cfvo type="formula" val="$F$10" gte="0"/>
      </iconSet>
    </cfRule>
  </conditionalFormatting>
  <conditionalFormatting sqref="G12">
    <cfRule type="iconSet" priority="14">
      <iconSet iconSet="3Arrows">
        <cfvo type="percent" val="0"/>
        <cfvo type="formula" val="$F$12"/>
        <cfvo type="formula" val="$F$12" gte="0"/>
      </iconSet>
    </cfRule>
  </conditionalFormatting>
  <conditionalFormatting sqref="G6:G29">
    <cfRule type="expression" dxfId="10" priority="2">
      <formula>(F6-G6)&gt;0</formula>
    </cfRule>
    <cfRule type="expression" dxfId="9" priority="12">
      <formula>(G6-F6)=0</formula>
    </cfRule>
    <cfRule type="expression" dxfId="8" priority="13">
      <formula>(G6-F6)&gt;0</formula>
    </cfRule>
  </conditionalFormatting>
  <conditionalFormatting sqref="B34:G57">
    <cfRule type="expression" dxfId="7" priority="1">
      <formula>($G34-$F34)&lt;0</formula>
    </cfRule>
    <cfRule type="expression" dxfId="6" priority="3">
      <formula>($G34-$F34)=0</formula>
    </cfRule>
    <cfRule type="expression" dxfId="5" priority="4">
      <formula>($G34-$F34)&gt;0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2:L31"/>
  <sheetViews>
    <sheetView workbookViewId="0"/>
  </sheetViews>
  <sheetFormatPr defaultColWidth="11.453125" defaultRowHeight="14.5" x14ac:dyDescent="0.35"/>
  <cols>
    <col min="2" max="2" width="26" customWidth="1"/>
    <col min="3" max="3" width="7" customWidth="1"/>
    <col min="4" max="4" width="6" customWidth="1"/>
    <col min="5" max="5" width="12" customWidth="1"/>
  </cols>
  <sheetData>
    <row r="2" spans="2:12" ht="18.5" x14ac:dyDescent="0.45">
      <c r="B2" s="27" t="s">
        <v>49</v>
      </c>
      <c r="C2" s="25" t="s">
        <v>72</v>
      </c>
    </row>
    <row r="3" spans="2:12" ht="18.5" x14ac:dyDescent="0.45">
      <c r="B3" s="26"/>
    </row>
    <row r="4" spans="2:12" ht="50.25" customHeight="1" x14ac:dyDescent="0.35">
      <c r="B4" s="28" t="s">
        <v>50</v>
      </c>
      <c r="C4" s="49" t="s">
        <v>73</v>
      </c>
      <c r="D4" s="49"/>
      <c r="E4" s="49"/>
      <c r="F4" s="49"/>
      <c r="G4" s="49"/>
      <c r="H4" s="49"/>
      <c r="I4" s="49"/>
      <c r="J4" s="49"/>
      <c r="K4" s="49"/>
      <c r="L4" s="49"/>
    </row>
    <row r="5" spans="2:12" ht="18.5" x14ac:dyDescent="0.35">
      <c r="B5" s="32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2:12" ht="18.5" x14ac:dyDescent="0.35">
      <c r="B6" s="28" t="s">
        <v>171</v>
      </c>
      <c r="C6" s="33" t="s">
        <v>170</v>
      </c>
      <c r="D6" s="29"/>
      <c r="E6" s="29"/>
      <c r="F6" s="29"/>
      <c r="G6" s="29"/>
      <c r="H6" s="29"/>
      <c r="I6" s="29"/>
      <c r="J6" s="29"/>
      <c r="K6" s="29"/>
      <c r="L6" s="29"/>
    </row>
    <row r="7" spans="2:12" ht="18.5" x14ac:dyDescent="0.35">
      <c r="B7" s="32"/>
      <c r="C7" s="33"/>
      <c r="D7" s="29"/>
      <c r="E7" s="29"/>
      <c r="F7" s="29"/>
      <c r="G7" s="29"/>
      <c r="H7" s="29"/>
      <c r="I7" s="29"/>
      <c r="J7" s="29"/>
      <c r="K7" s="29"/>
      <c r="L7" s="29"/>
    </row>
    <row r="9" spans="2:12" x14ac:dyDescent="0.35">
      <c r="E9" t="s">
        <v>163</v>
      </c>
      <c r="F9" t="s">
        <v>172</v>
      </c>
      <c r="G9" t="s">
        <v>164</v>
      </c>
      <c r="H9" t="s">
        <v>165</v>
      </c>
      <c r="I9" t="s">
        <v>166</v>
      </c>
      <c r="J9" t="s">
        <v>167</v>
      </c>
      <c r="K9" s="30" t="s">
        <v>168</v>
      </c>
      <c r="L9" t="s">
        <v>169</v>
      </c>
    </row>
    <row r="10" spans="2:12" x14ac:dyDescent="0.35">
      <c r="E10">
        <v>3</v>
      </c>
      <c r="F10">
        <v>6</v>
      </c>
      <c r="G10" t="s">
        <v>74</v>
      </c>
      <c r="H10" t="s">
        <v>75</v>
      </c>
      <c r="I10" t="s">
        <v>76</v>
      </c>
      <c r="J10" t="s">
        <v>77</v>
      </c>
      <c r="K10" s="30">
        <v>8.7916666666666657E-2</v>
      </c>
      <c r="L10" t="s">
        <v>78</v>
      </c>
    </row>
    <row r="11" spans="2:12" x14ac:dyDescent="0.35">
      <c r="E11">
        <v>4</v>
      </c>
      <c r="F11">
        <v>3</v>
      </c>
      <c r="G11" t="s">
        <v>79</v>
      </c>
      <c r="H11" t="s">
        <v>80</v>
      </c>
      <c r="I11" s="30" t="s">
        <v>81</v>
      </c>
      <c r="J11" s="31" t="s">
        <v>82</v>
      </c>
      <c r="K11" s="30">
        <v>9.087962962962963E-2</v>
      </c>
      <c r="L11" t="s">
        <v>83</v>
      </c>
    </row>
    <row r="12" spans="2:12" x14ac:dyDescent="0.35">
      <c r="E12">
        <v>5</v>
      </c>
      <c r="F12">
        <v>7</v>
      </c>
      <c r="G12" t="s">
        <v>84</v>
      </c>
      <c r="H12" t="s">
        <v>79</v>
      </c>
      <c r="I12" s="30" t="s">
        <v>85</v>
      </c>
      <c r="J12" t="s">
        <v>86</v>
      </c>
      <c r="K12" s="30">
        <v>9.297453703703705E-2</v>
      </c>
      <c r="L12" t="s">
        <v>87</v>
      </c>
    </row>
    <row r="13" spans="2:12" x14ac:dyDescent="0.35">
      <c r="E13">
        <v>6</v>
      </c>
      <c r="F13">
        <v>636</v>
      </c>
      <c r="G13" t="s">
        <v>88</v>
      </c>
      <c r="H13" t="s">
        <v>89</v>
      </c>
      <c r="I13" t="s">
        <v>90</v>
      </c>
      <c r="J13" s="30" t="s">
        <v>77</v>
      </c>
      <c r="K13" s="30">
        <v>9.3611111111111103E-2</v>
      </c>
      <c r="L13" t="s">
        <v>91</v>
      </c>
    </row>
    <row r="14" spans="2:12" x14ac:dyDescent="0.35">
      <c r="E14">
        <v>7</v>
      </c>
      <c r="F14">
        <v>543</v>
      </c>
      <c r="G14" t="s">
        <v>92</v>
      </c>
      <c r="H14" t="s">
        <v>93</v>
      </c>
      <c r="I14" t="s">
        <v>94</v>
      </c>
      <c r="J14" s="30" t="s">
        <v>77</v>
      </c>
      <c r="K14" s="30">
        <v>9.4305555555555545E-2</v>
      </c>
      <c r="L14" t="s">
        <v>95</v>
      </c>
    </row>
    <row r="15" spans="2:12" x14ac:dyDescent="0.35">
      <c r="E15">
        <v>8</v>
      </c>
      <c r="F15">
        <v>15</v>
      </c>
      <c r="G15" t="s">
        <v>96</v>
      </c>
      <c r="H15" t="s">
        <v>97</v>
      </c>
      <c r="I15" t="s">
        <v>98</v>
      </c>
      <c r="J15" s="30" t="s">
        <v>77</v>
      </c>
      <c r="K15" s="30">
        <v>9.5983796296296289E-2</v>
      </c>
      <c r="L15" t="s">
        <v>99</v>
      </c>
    </row>
    <row r="16" spans="2:12" x14ac:dyDescent="0.35">
      <c r="E16">
        <v>9</v>
      </c>
      <c r="F16">
        <v>351</v>
      </c>
      <c r="G16" t="s">
        <v>100</v>
      </c>
      <c r="H16" t="s">
        <v>101</v>
      </c>
      <c r="I16" t="s">
        <v>102</v>
      </c>
      <c r="J16" s="30" t="s">
        <v>77</v>
      </c>
      <c r="K16" s="30">
        <v>0.10409722222222222</v>
      </c>
      <c r="L16" t="s">
        <v>103</v>
      </c>
    </row>
    <row r="17" spans="5:12" x14ac:dyDescent="0.35">
      <c r="E17">
        <v>10</v>
      </c>
      <c r="F17">
        <v>669</v>
      </c>
      <c r="G17" t="s">
        <v>104</v>
      </c>
      <c r="H17" t="s">
        <v>105</v>
      </c>
      <c r="I17" t="s">
        <v>106</v>
      </c>
      <c r="J17" s="30" t="s">
        <v>77</v>
      </c>
      <c r="K17" s="30">
        <v>0.10542824074074074</v>
      </c>
      <c r="L17" t="s">
        <v>107</v>
      </c>
    </row>
    <row r="18" spans="5:12" x14ac:dyDescent="0.35">
      <c r="E18">
        <v>11</v>
      </c>
      <c r="F18">
        <v>437</v>
      </c>
      <c r="G18" t="s">
        <v>108</v>
      </c>
      <c r="H18" t="s">
        <v>109</v>
      </c>
      <c r="I18" t="s">
        <v>110</v>
      </c>
      <c r="J18" s="30" t="s">
        <v>77</v>
      </c>
      <c r="K18" s="30">
        <v>0.10563657407407408</v>
      </c>
      <c r="L18" t="s">
        <v>111</v>
      </c>
    </row>
    <row r="19" spans="5:12" x14ac:dyDescent="0.35">
      <c r="E19">
        <v>12</v>
      </c>
      <c r="F19">
        <v>734</v>
      </c>
      <c r="G19" t="s">
        <v>112</v>
      </c>
      <c r="H19" t="s">
        <v>113</v>
      </c>
      <c r="I19" t="s">
        <v>114</v>
      </c>
      <c r="J19" t="s">
        <v>86</v>
      </c>
      <c r="K19" s="30">
        <v>0.10658564814814815</v>
      </c>
      <c r="L19" t="s">
        <v>115</v>
      </c>
    </row>
    <row r="20" spans="5:12" x14ac:dyDescent="0.35">
      <c r="E20">
        <v>13</v>
      </c>
      <c r="F20">
        <v>436</v>
      </c>
      <c r="G20" t="s">
        <v>116</v>
      </c>
      <c r="H20" t="s">
        <v>117</v>
      </c>
      <c r="I20" t="s">
        <v>118</v>
      </c>
      <c r="J20" s="30" t="s">
        <v>77</v>
      </c>
      <c r="K20" s="30">
        <v>0.10833333333333334</v>
      </c>
      <c r="L20" t="s">
        <v>119</v>
      </c>
    </row>
    <row r="21" spans="5:12" x14ac:dyDescent="0.35">
      <c r="E21">
        <v>14</v>
      </c>
      <c r="F21">
        <v>616</v>
      </c>
      <c r="G21" t="s">
        <v>120</v>
      </c>
      <c r="H21" t="s">
        <v>121</v>
      </c>
      <c r="I21" t="s">
        <v>122</v>
      </c>
      <c r="J21" s="30" t="s">
        <v>77</v>
      </c>
      <c r="K21" s="30">
        <v>0.10837962962962962</v>
      </c>
      <c r="L21" t="s">
        <v>123</v>
      </c>
    </row>
    <row r="22" spans="5:12" x14ac:dyDescent="0.35">
      <c r="E22">
        <v>15</v>
      </c>
      <c r="F22">
        <v>478</v>
      </c>
      <c r="G22" t="s">
        <v>124</v>
      </c>
      <c r="H22" t="s">
        <v>125</v>
      </c>
      <c r="I22" t="s">
        <v>126</v>
      </c>
      <c r="J22" s="30" t="s">
        <v>77</v>
      </c>
      <c r="K22" s="30">
        <v>0.10847222222222223</v>
      </c>
      <c r="L22" t="s">
        <v>127</v>
      </c>
    </row>
    <row r="23" spans="5:12" x14ac:dyDescent="0.35">
      <c r="E23">
        <v>16</v>
      </c>
      <c r="F23">
        <v>519</v>
      </c>
      <c r="G23" t="s">
        <v>128</v>
      </c>
      <c r="H23" t="s">
        <v>129</v>
      </c>
      <c r="I23" t="s">
        <v>118</v>
      </c>
      <c r="J23" s="30" t="s">
        <v>77</v>
      </c>
      <c r="K23" s="30">
        <v>0.10873842592592593</v>
      </c>
      <c r="L23" t="s">
        <v>130</v>
      </c>
    </row>
    <row r="24" spans="5:12" x14ac:dyDescent="0.35">
      <c r="E24">
        <v>17</v>
      </c>
      <c r="F24">
        <v>47</v>
      </c>
      <c r="G24" t="s">
        <v>131</v>
      </c>
      <c r="H24" t="s">
        <v>162</v>
      </c>
      <c r="I24" t="s">
        <v>132</v>
      </c>
      <c r="J24" s="30" t="s">
        <v>77</v>
      </c>
      <c r="K24" s="30">
        <v>0.10983796296296296</v>
      </c>
      <c r="L24" t="s">
        <v>133</v>
      </c>
    </row>
    <row r="25" spans="5:12" x14ac:dyDescent="0.35">
      <c r="E25">
        <v>18</v>
      </c>
      <c r="F25">
        <v>575</v>
      </c>
      <c r="G25" t="s">
        <v>134</v>
      </c>
      <c r="H25" t="s">
        <v>135</v>
      </c>
      <c r="I25" t="s">
        <v>136</v>
      </c>
      <c r="J25" s="30" t="s">
        <v>77</v>
      </c>
      <c r="K25" s="30">
        <v>0.10990740740740741</v>
      </c>
      <c r="L25" t="s">
        <v>137</v>
      </c>
    </row>
    <row r="26" spans="5:12" x14ac:dyDescent="0.35">
      <c r="E26">
        <v>19</v>
      </c>
      <c r="F26">
        <v>490</v>
      </c>
      <c r="G26" t="s">
        <v>138</v>
      </c>
      <c r="H26" t="s">
        <v>139</v>
      </c>
      <c r="I26" t="s">
        <v>140</v>
      </c>
      <c r="J26" t="s">
        <v>86</v>
      </c>
      <c r="K26" s="30">
        <v>0.11010416666666667</v>
      </c>
      <c r="L26" t="s">
        <v>141</v>
      </c>
    </row>
    <row r="27" spans="5:12" x14ac:dyDescent="0.35">
      <c r="E27">
        <v>20</v>
      </c>
      <c r="F27">
        <v>431</v>
      </c>
      <c r="G27" t="s">
        <v>142</v>
      </c>
      <c r="H27" t="s">
        <v>143</v>
      </c>
      <c r="I27" t="s">
        <v>144</v>
      </c>
      <c r="J27" t="s">
        <v>86</v>
      </c>
      <c r="K27" s="30">
        <v>0.11061342592592593</v>
      </c>
      <c r="L27" t="s">
        <v>145</v>
      </c>
    </row>
    <row r="28" spans="5:12" x14ac:dyDescent="0.35">
      <c r="E28">
        <v>21</v>
      </c>
      <c r="F28">
        <v>664</v>
      </c>
      <c r="G28" t="s">
        <v>146</v>
      </c>
      <c r="H28" t="s">
        <v>147</v>
      </c>
      <c r="I28" t="s">
        <v>148</v>
      </c>
      <c r="J28" t="s">
        <v>77</v>
      </c>
      <c r="K28" s="30">
        <v>0.11115740740740741</v>
      </c>
      <c r="L28" t="s">
        <v>149</v>
      </c>
    </row>
    <row r="29" spans="5:12" x14ac:dyDescent="0.35">
      <c r="E29">
        <v>22</v>
      </c>
      <c r="F29">
        <v>283</v>
      </c>
      <c r="G29" t="s">
        <v>150</v>
      </c>
      <c r="H29" t="s">
        <v>151</v>
      </c>
      <c r="I29" t="s">
        <v>140</v>
      </c>
      <c r="J29" t="s">
        <v>77</v>
      </c>
      <c r="K29" s="30">
        <v>0.11184027777777777</v>
      </c>
      <c r="L29" t="s">
        <v>152</v>
      </c>
    </row>
    <row r="30" spans="5:12" x14ac:dyDescent="0.35">
      <c r="E30">
        <v>23</v>
      </c>
      <c r="F30">
        <v>693</v>
      </c>
      <c r="G30" t="s">
        <v>153</v>
      </c>
      <c r="H30" t="s">
        <v>154</v>
      </c>
      <c r="I30" t="s">
        <v>155</v>
      </c>
      <c r="J30" t="s">
        <v>77</v>
      </c>
      <c r="K30" s="30">
        <v>0.11196759259259259</v>
      </c>
      <c r="L30" t="s">
        <v>156</v>
      </c>
    </row>
    <row r="31" spans="5:12" x14ac:dyDescent="0.35">
      <c r="E31">
        <v>24</v>
      </c>
      <c r="F31">
        <v>134</v>
      </c>
      <c r="G31" t="s">
        <v>157</v>
      </c>
      <c r="H31" t="s">
        <v>158</v>
      </c>
      <c r="I31" t="s">
        <v>159</v>
      </c>
      <c r="J31" t="s">
        <v>77</v>
      </c>
      <c r="K31" s="30">
        <v>0.11203703703703705</v>
      </c>
      <c r="L31" t="s">
        <v>160</v>
      </c>
    </row>
  </sheetData>
  <mergeCells count="1">
    <mergeCell ref="C4:L4"/>
  </mergeCells>
  <hyperlinks>
    <hyperlink ref="C6" r:id="rId1" xr:uid="{00000000-0004-0000-0400-000000000000}"/>
  </hyperlinks>
  <pageMargins left="0.7" right="0.7" top="0.75" bottom="0.75" header="0.3" footer="0.3"/>
  <pageSetup paperSize="9"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B2:L36"/>
  <sheetViews>
    <sheetView workbookViewId="0">
      <selection activeCell="H12" sqref="H12"/>
    </sheetView>
  </sheetViews>
  <sheetFormatPr defaultColWidth="11.453125" defaultRowHeight="14.5" x14ac:dyDescent="0.35"/>
  <cols>
    <col min="2" max="2" width="26" customWidth="1"/>
    <col min="3" max="3" width="7" customWidth="1"/>
    <col min="4" max="4" width="6" customWidth="1"/>
    <col min="5" max="5" width="12" style="1" customWidth="1"/>
    <col min="6" max="12" width="11.453125" style="1"/>
  </cols>
  <sheetData>
    <row r="2" spans="2:12" ht="18.5" x14ac:dyDescent="0.45">
      <c r="B2" s="27" t="s">
        <v>49</v>
      </c>
      <c r="C2" s="50" t="s">
        <v>182</v>
      </c>
      <c r="D2" s="50"/>
      <c r="E2" s="50"/>
      <c r="F2" s="50"/>
      <c r="G2" s="50"/>
      <c r="H2" s="50"/>
      <c r="I2" s="50"/>
      <c r="J2" s="50"/>
      <c r="K2" s="50"/>
      <c r="L2" s="50"/>
    </row>
    <row r="3" spans="2:12" ht="18.5" x14ac:dyDescent="0.45">
      <c r="B3" s="26"/>
    </row>
    <row r="4" spans="2:12" ht="71.25" customHeight="1" x14ac:dyDescent="0.35">
      <c r="B4" s="28" t="s">
        <v>50</v>
      </c>
      <c r="C4" s="48" t="s">
        <v>183</v>
      </c>
      <c r="D4" s="48"/>
      <c r="E4" s="48"/>
      <c r="F4" s="48"/>
      <c r="G4" s="48"/>
      <c r="H4" s="48"/>
      <c r="I4" s="48"/>
      <c r="J4" s="48"/>
      <c r="K4" s="48"/>
      <c r="L4" s="48"/>
    </row>
    <row r="5" spans="2:12" ht="18.5" x14ac:dyDescent="0.35">
      <c r="B5" s="32"/>
      <c r="C5" s="29"/>
      <c r="D5" s="29"/>
      <c r="E5" s="34"/>
      <c r="F5" s="34"/>
      <c r="G5" s="34"/>
      <c r="H5" s="34"/>
      <c r="I5" s="34"/>
      <c r="J5" s="34"/>
      <c r="K5" s="34"/>
      <c r="L5" s="34"/>
    </row>
    <row r="6" spans="2:12" ht="18.5" x14ac:dyDescent="0.35">
      <c r="B6" s="28" t="s">
        <v>171</v>
      </c>
      <c r="C6" s="33" t="s">
        <v>170</v>
      </c>
      <c r="D6" s="29"/>
      <c r="E6" s="34"/>
      <c r="F6" s="34"/>
      <c r="G6" s="34"/>
      <c r="H6" s="34"/>
      <c r="I6" s="34"/>
      <c r="J6" s="34"/>
      <c r="K6" s="34"/>
      <c r="L6" s="34"/>
    </row>
    <row r="7" spans="2:12" ht="18.5" x14ac:dyDescent="0.35">
      <c r="B7" s="32"/>
      <c r="C7" s="33"/>
      <c r="D7" s="29"/>
      <c r="E7" s="34"/>
      <c r="F7" s="34"/>
      <c r="G7" s="34"/>
      <c r="H7" s="34"/>
      <c r="I7" s="34"/>
      <c r="J7" s="34"/>
      <c r="K7" s="34"/>
      <c r="L7" s="34"/>
    </row>
    <row r="9" spans="2:12" x14ac:dyDescent="0.35">
      <c r="E9" s="1" t="s">
        <v>163</v>
      </c>
      <c r="F9" s="1" t="s">
        <v>172</v>
      </c>
      <c r="G9" s="1" t="s">
        <v>164</v>
      </c>
      <c r="H9" s="1" t="s">
        <v>165</v>
      </c>
      <c r="I9" s="1" t="s">
        <v>166</v>
      </c>
      <c r="J9" s="1" t="s">
        <v>167</v>
      </c>
      <c r="K9" s="35" t="s">
        <v>168</v>
      </c>
      <c r="L9" s="1" t="s">
        <v>169</v>
      </c>
    </row>
    <row r="10" spans="2:12" x14ac:dyDescent="0.35">
      <c r="E10" s="1">
        <v>3</v>
      </c>
      <c r="F10" s="1">
        <v>6</v>
      </c>
      <c r="G10" s="1" t="s">
        <v>74</v>
      </c>
      <c r="H10" s="1" t="s">
        <v>75</v>
      </c>
      <c r="I10" s="1" t="s">
        <v>76</v>
      </c>
      <c r="J10" s="1" t="s">
        <v>77</v>
      </c>
      <c r="K10" s="35">
        <v>8.7916666666666657E-2</v>
      </c>
      <c r="L10" s="1" t="s">
        <v>78</v>
      </c>
    </row>
    <row r="11" spans="2:12" x14ac:dyDescent="0.35">
      <c r="E11" s="1">
        <v>4</v>
      </c>
      <c r="F11" s="1">
        <v>3</v>
      </c>
      <c r="G11" s="1" t="s">
        <v>79</v>
      </c>
      <c r="H11" s="1" t="s">
        <v>80</v>
      </c>
      <c r="I11" s="35" t="s">
        <v>81</v>
      </c>
      <c r="J11" s="36" t="s">
        <v>82</v>
      </c>
      <c r="K11" s="35">
        <v>9.087962962962963E-2</v>
      </c>
      <c r="L11" s="1" t="s">
        <v>83</v>
      </c>
    </row>
    <row r="12" spans="2:12" x14ac:dyDescent="0.35">
      <c r="E12" s="1">
        <v>5</v>
      </c>
      <c r="F12" s="1">
        <v>7</v>
      </c>
      <c r="G12" s="1" t="s">
        <v>84</v>
      </c>
      <c r="H12" s="1" t="s">
        <v>79</v>
      </c>
      <c r="I12" s="35" t="s">
        <v>85</v>
      </c>
      <c r="J12" s="1" t="s">
        <v>86</v>
      </c>
      <c r="K12" s="35">
        <v>9.297453703703705E-2</v>
      </c>
      <c r="L12" s="1" t="s">
        <v>87</v>
      </c>
    </row>
    <row r="13" spans="2:12" x14ac:dyDescent="0.35">
      <c r="E13" s="1">
        <v>14</v>
      </c>
      <c r="F13" s="1">
        <v>616</v>
      </c>
      <c r="G13" s="1" t="s">
        <v>120</v>
      </c>
      <c r="H13" s="1" t="s">
        <v>121</v>
      </c>
      <c r="I13" s="1" t="s">
        <v>122</v>
      </c>
      <c r="J13" s="35" t="s">
        <v>77</v>
      </c>
      <c r="K13" s="35">
        <v>0.10837962962962962</v>
      </c>
      <c r="L13" s="1" t="s">
        <v>123</v>
      </c>
    </row>
    <row r="14" spans="2:12" x14ac:dyDescent="0.35">
      <c r="E14" s="1">
        <v>6</v>
      </c>
      <c r="F14" s="1">
        <v>636</v>
      </c>
      <c r="G14" s="1" t="s">
        <v>88</v>
      </c>
      <c r="H14" s="1" t="s">
        <v>89</v>
      </c>
      <c r="I14" s="1" t="s">
        <v>90</v>
      </c>
      <c r="J14" s="35" t="s">
        <v>77</v>
      </c>
      <c r="K14" s="35">
        <v>9.3611111111111103E-2</v>
      </c>
      <c r="L14" s="1" t="s">
        <v>91</v>
      </c>
    </row>
    <row r="15" spans="2:12" x14ac:dyDescent="0.35">
      <c r="E15" s="1">
        <v>7</v>
      </c>
      <c r="F15" s="1">
        <v>543</v>
      </c>
      <c r="G15" s="1" t="s">
        <v>92</v>
      </c>
      <c r="H15" s="1" t="s">
        <v>93</v>
      </c>
      <c r="I15" s="1" t="s">
        <v>94</v>
      </c>
      <c r="J15" s="35" t="s">
        <v>86</v>
      </c>
      <c r="K15" s="35">
        <v>9.4305555555555545E-2</v>
      </c>
      <c r="L15" s="1" t="s">
        <v>95</v>
      </c>
    </row>
    <row r="16" spans="2:12" x14ac:dyDescent="0.35">
      <c r="E16" s="1">
        <v>8</v>
      </c>
      <c r="F16" s="1">
        <v>15</v>
      </c>
      <c r="G16" s="1" t="s">
        <v>96</v>
      </c>
      <c r="H16" s="1" t="s">
        <v>97</v>
      </c>
      <c r="I16" s="1" t="s">
        <v>98</v>
      </c>
      <c r="J16" s="35" t="s">
        <v>86</v>
      </c>
      <c r="K16" s="35">
        <v>9.5983796296296289E-2</v>
      </c>
      <c r="L16" s="1" t="s">
        <v>99</v>
      </c>
    </row>
    <row r="17" spans="5:12" x14ac:dyDescent="0.35">
      <c r="E17" s="1">
        <v>21</v>
      </c>
      <c r="F17" s="1">
        <v>664</v>
      </c>
      <c r="G17" s="1" t="s">
        <v>146</v>
      </c>
      <c r="H17" s="1" t="s">
        <v>147</v>
      </c>
      <c r="I17" s="1" t="s">
        <v>148</v>
      </c>
      <c r="J17" s="1" t="s">
        <v>77</v>
      </c>
      <c r="K17" s="35">
        <v>0.11115740740740741</v>
      </c>
      <c r="L17" s="1" t="s">
        <v>149</v>
      </c>
    </row>
    <row r="18" spans="5:12" x14ac:dyDescent="0.35">
      <c r="E18" s="1">
        <v>6</v>
      </c>
      <c r="F18" s="1">
        <v>636</v>
      </c>
      <c r="G18" s="1" t="s">
        <v>88</v>
      </c>
      <c r="H18" s="1" t="s">
        <v>89</v>
      </c>
      <c r="I18" s="1" t="s">
        <v>90</v>
      </c>
      <c r="J18" s="35" t="s">
        <v>77</v>
      </c>
      <c r="K18" s="35">
        <v>9.3611111111111103E-2</v>
      </c>
      <c r="L18" s="1" t="s">
        <v>91</v>
      </c>
    </row>
    <row r="19" spans="5:12" x14ac:dyDescent="0.35">
      <c r="E19" s="1">
        <v>9</v>
      </c>
      <c r="F19" s="1">
        <v>351</v>
      </c>
      <c r="G19" s="1" t="s">
        <v>100</v>
      </c>
      <c r="H19" s="1" t="s">
        <v>101</v>
      </c>
      <c r="I19" s="1" t="s">
        <v>102</v>
      </c>
      <c r="J19" s="35" t="s">
        <v>77</v>
      </c>
      <c r="K19" s="35">
        <v>0.10409722222222222</v>
      </c>
      <c r="L19" s="1" t="s">
        <v>103</v>
      </c>
    </row>
    <row r="20" spans="5:12" x14ac:dyDescent="0.35">
      <c r="E20" s="1">
        <v>10</v>
      </c>
      <c r="F20" s="1">
        <v>669</v>
      </c>
      <c r="G20" s="1" t="s">
        <v>104</v>
      </c>
      <c r="H20" s="1" t="s">
        <v>105</v>
      </c>
      <c r="I20" s="1" t="s">
        <v>106</v>
      </c>
      <c r="J20" s="35" t="s">
        <v>77</v>
      </c>
      <c r="K20" s="35">
        <v>0.10542824074074074</v>
      </c>
      <c r="L20" s="1" t="s">
        <v>107</v>
      </c>
    </row>
    <row r="21" spans="5:12" x14ac:dyDescent="0.35">
      <c r="E21" s="1">
        <v>11</v>
      </c>
      <c r="F21" s="1">
        <v>437</v>
      </c>
      <c r="G21" s="1" t="s">
        <v>108</v>
      </c>
      <c r="H21" s="1" t="s">
        <v>109</v>
      </c>
      <c r="I21" s="1" t="s">
        <v>110</v>
      </c>
      <c r="J21" s="35" t="s">
        <v>77</v>
      </c>
      <c r="K21" s="35">
        <v>0.10563657407407408</v>
      </c>
      <c r="L21" s="1" t="s">
        <v>111</v>
      </c>
    </row>
    <row r="22" spans="5:12" x14ac:dyDescent="0.35">
      <c r="E22" s="1">
        <v>12</v>
      </c>
      <c r="F22" s="1">
        <v>734</v>
      </c>
      <c r="G22" s="1" t="s">
        <v>112</v>
      </c>
      <c r="H22" s="1" t="s">
        <v>113</v>
      </c>
      <c r="I22" s="1" t="s">
        <v>114</v>
      </c>
      <c r="J22" s="1" t="s">
        <v>86</v>
      </c>
      <c r="K22" s="35">
        <v>0.10658564814814815</v>
      </c>
      <c r="L22" s="1" t="s">
        <v>115</v>
      </c>
    </row>
    <row r="23" spans="5:12" x14ac:dyDescent="0.35">
      <c r="E23" s="1">
        <v>13</v>
      </c>
      <c r="F23" s="1">
        <v>436</v>
      </c>
      <c r="G23" s="1" t="s">
        <v>116</v>
      </c>
      <c r="H23" s="1" t="s">
        <v>117</v>
      </c>
      <c r="I23" s="1" t="s">
        <v>118</v>
      </c>
      <c r="J23" s="35" t="s">
        <v>77</v>
      </c>
      <c r="K23" s="35">
        <v>0.10833333333333334</v>
      </c>
      <c r="L23" s="1" t="s">
        <v>119</v>
      </c>
    </row>
    <row r="24" spans="5:12" x14ac:dyDescent="0.35">
      <c r="E24" s="1">
        <v>18</v>
      </c>
      <c r="F24" s="1">
        <v>575</v>
      </c>
      <c r="G24" s="1" t="s">
        <v>134</v>
      </c>
      <c r="H24" s="1" t="s">
        <v>135</v>
      </c>
      <c r="I24" s="1" t="s">
        <v>136</v>
      </c>
      <c r="J24" s="35" t="s">
        <v>77</v>
      </c>
      <c r="K24" s="35">
        <v>0.10990740740740741</v>
      </c>
      <c r="L24" s="1" t="s">
        <v>137</v>
      </c>
    </row>
    <row r="25" spans="5:12" x14ac:dyDescent="0.35">
      <c r="E25" s="1">
        <v>14</v>
      </c>
      <c r="F25" s="1">
        <v>616</v>
      </c>
      <c r="G25" s="1" t="s">
        <v>120</v>
      </c>
      <c r="H25" s="1" t="s">
        <v>121</v>
      </c>
      <c r="I25" s="1" t="s">
        <v>122</v>
      </c>
      <c r="J25" s="35" t="s">
        <v>77</v>
      </c>
      <c r="K25" s="35">
        <v>0.10837962962962962</v>
      </c>
      <c r="L25" s="1" t="s">
        <v>123</v>
      </c>
    </row>
    <row r="26" spans="5:12" x14ac:dyDescent="0.35">
      <c r="E26" s="1">
        <v>15</v>
      </c>
      <c r="F26" s="1">
        <v>478</v>
      </c>
      <c r="G26" s="1" t="s">
        <v>124</v>
      </c>
      <c r="H26" s="1" t="s">
        <v>125</v>
      </c>
      <c r="I26" s="1" t="s">
        <v>126</v>
      </c>
      <c r="J26" s="35" t="s">
        <v>77</v>
      </c>
      <c r="K26" s="35">
        <v>0.10847222222222223</v>
      </c>
      <c r="L26" s="1" t="s">
        <v>127</v>
      </c>
    </row>
    <row r="27" spans="5:12" x14ac:dyDescent="0.35">
      <c r="E27" s="1">
        <v>16</v>
      </c>
      <c r="F27" s="1">
        <v>519</v>
      </c>
      <c r="G27" s="1" t="s">
        <v>128</v>
      </c>
      <c r="H27" s="1" t="s">
        <v>129</v>
      </c>
      <c r="I27" s="1" t="s">
        <v>118</v>
      </c>
      <c r="J27" s="35" t="s">
        <v>77</v>
      </c>
      <c r="K27" s="35">
        <v>0.10873842592592593</v>
      </c>
      <c r="L27" s="1" t="s">
        <v>130</v>
      </c>
    </row>
    <row r="28" spans="5:12" x14ac:dyDescent="0.35">
      <c r="E28" s="1">
        <v>17</v>
      </c>
      <c r="F28" s="1">
        <v>47</v>
      </c>
      <c r="G28" s="1" t="s">
        <v>131</v>
      </c>
      <c r="H28" s="1" t="s">
        <v>162</v>
      </c>
      <c r="I28" s="1" t="s">
        <v>132</v>
      </c>
      <c r="J28" s="35" t="s">
        <v>77</v>
      </c>
      <c r="K28" s="35">
        <v>0.10983796296296296</v>
      </c>
      <c r="L28" s="1" t="s">
        <v>133</v>
      </c>
    </row>
    <row r="29" spans="5:12" x14ac:dyDescent="0.35">
      <c r="E29" s="1">
        <v>18</v>
      </c>
      <c r="F29" s="1">
        <v>575</v>
      </c>
      <c r="G29" s="1" t="s">
        <v>134</v>
      </c>
      <c r="H29" s="1" t="s">
        <v>135</v>
      </c>
      <c r="I29" s="1" t="s">
        <v>136</v>
      </c>
      <c r="J29" s="35" t="s">
        <v>77</v>
      </c>
      <c r="K29" s="35">
        <v>0.10990740740740741</v>
      </c>
      <c r="L29" s="1" t="s">
        <v>137</v>
      </c>
    </row>
    <row r="30" spans="5:12" x14ac:dyDescent="0.35">
      <c r="E30" s="1">
        <v>19</v>
      </c>
      <c r="F30" s="1">
        <v>490</v>
      </c>
      <c r="G30" s="1" t="s">
        <v>138</v>
      </c>
      <c r="H30" s="1" t="s">
        <v>139</v>
      </c>
      <c r="I30" s="1" t="s">
        <v>140</v>
      </c>
      <c r="J30" s="1" t="s">
        <v>86</v>
      </c>
      <c r="K30" s="35">
        <v>0.11010416666666667</v>
      </c>
      <c r="L30" s="1" t="s">
        <v>141</v>
      </c>
    </row>
    <row r="31" spans="5:12" x14ac:dyDescent="0.35">
      <c r="E31" s="1">
        <v>20</v>
      </c>
      <c r="F31" s="1">
        <v>431</v>
      </c>
      <c r="G31" s="1" t="s">
        <v>142</v>
      </c>
      <c r="H31" s="1" t="s">
        <v>143</v>
      </c>
      <c r="I31" s="1" t="s">
        <v>144</v>
      </c>
      <c r="J31" s="1" t="s">
        <v>86</v>
      </c>
      <c r="K31" s="35">
        <v>0.11061342592592593</v>
      </c>
      <c r="L31" s="1" t="s">
        <v>145</v>
      </c>
    </row>
    <row r="32" spans="5:12" x14ac:dyDescent="0.35">
      <c r="E32" s="1">
        <v>6</v>
      </c>
      <c r="F32" s="1">
        <v>636</v>
      </c>
      <c r="G32" s="1" t="s">
        <v>88</v>
      </c>
      <c r="H32" s="1" t="s">
        <v>89</v>
      </c>
      <c r="I32" s="1" t="s">
        <v>90</v>
      </c>
      <c r="J32" s="35" t="s">
        <v>77</v>
      </c>
      <c r="K32" s="35">
        <v>9.3611111111111103E-2</v>
      </c>
      <c r="L32" s="1" t="s">
        <v>91</v>
      </c>
    </row>
    <row r="33" spans="5:12" x14ac:dyDescent="0.35">
      <c r="E33" s="1">
        <v>21</v>
      </c>
      <c r="F33" s="1">
        <v>664</v>
      </c>
      <c r="G33" s="1" t="s">
        <v>146</v>
      </c>
      <c r="H33" s="1" t="s">
        <v>147</v>
      </c>
      <c r="I33" s="1" t="s">
        <v>148</v>
      </c>
      <c r="J33" s="1" t="s">
        <v>77</v>
      </c>
      <c r="K33" s="35">
        <v>0.11115740740740741</v>
      </c>
      <c r="L33" s="1" t="s">
        <v>149</v>
      </c>
    </row>
    <row r="34" spans="5:12" x14ac:dyDescent="0.35">
      <c r="E34" s="1">
        <v>22</v>
      </c>
      <c r="F34" s="1">
        <v>283</v>
      </c>
      <c r="G34" s="1" t="s">
        <v>150</v>
      </c>
      <c r="H34" s="1" t="s">
        <v>151</v>
      </c>
      <c r="I34" s="1" t="s">
        <v>140</v>
      </c>
      <c r="J34" s="1" t="s">
        <v>77</v>
      </c>
      <c r="K34" s="35">
        <v>0.11184027777777777</v>
      </c>
      <c r="L34" s="1" t="s">
        <v>152</v>
      </c>
    </row>
    <row r="35" spans="5:12" x14ac:dyDescent="0.35">
      <c r="E35" s="1">
        <v>23</v>
      </c>
      <c r="F35" s="1">
        <v>693</v>
      </c>
      <c r="G35" s="1" t="s">
        <v>153</v>
      </c>
      <c r="H35" s="1" t="s">
        <v>154</v>
      </c>
      <c r="I35" s="1" t="s">
        <v>155</v>
      </c>
      <c r="J35" s="1" t="s">
        <v>77</v>
      </c>
      <c r="K35" s="35">
        <v>0.11196759259259259</v>
      </c>
      <c r="L35" s="1" t="s">
        <v>156</v>
      </c>
    </row>
    <row r="36" spans="5:12" x14ac:dyDescent="0.35">
      <c r="E36" s="1">
        <v>24</v>
      </c>
      <c r="F36" s="1">
        <v>134</v>
      </c>
      <c r="G36" s="1" t="s">
        <v>157</v>
      </c>
      <c r="H36" s="1" t="s">
        <v>158</v>
      </c>
      <c r="I36" s="1" t="s">
        <v>159</v>
      </c>
      <c r="J36" s="1" t="s">
        <v>77</v>
      </c>
      <c r="K36" s="35">
        <v>0.11203703703703705</v>
      </c>
      <c r="L36" s="1" t="s">
        <v>160</v>
      </c>
    </row>
  </sheetData>
  <mergeCells count="2">
    <mergeCell ref="C4:L4"/>
    <mergeCell ref="C2:L2"/>
  </mergeCells>
  <hyperlinks>
    <hyperlink ref="C6" r:id="rId1" xr:uid="{00000000-0004-0000-0500-000000000000}"/>
  </hyperlinks>
  <pageMargins left="0.7" right="0.7" top="0.75" bottom="0.75" header="0.3" footer="0.3"/>
  <pageSetup paperSize="9" orientation="portrait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2:V48"/>
  <sheetViews>
    <sheetView workbookViewId="0">
      <selection activeCell="T27" sqref="T27"/>
    </sheetView>
  </sheetViews>
  <sheetFormatPr defaultColWidth="11.453125" defaultRowHeight="14.5" x14ac:dyDescent="0.35"/>
  <cols>
    <col min="2" max="2" width="26" customWidth="1"/>
    <col min="3" max="3" width="7" customWidth="1"/>
    <col min="4" max="4" width="6" customWidth="1"/>
    <col min="5" max="5" width="12" style="1" customWidth="1"/>
    <col min="6" max="7" width="11.453125" style="1"/>
    <col min="8" max="8" width="13.453125" style="1" customWidth="1"/>
    <col min="9" max="12" width="11.453125" style="1"/>
  </cols>
  <sheetData>
    <row r="2" spans="2:21" ht="18.5" x14ac:dyDescent="0.45">
      <c r="B2" s="27" t="s">
        <v>49</v>
      </c>
      <c r="C2" s="50" t="s">
        <v>182</v>
      </c>
      <c r="D2" s="50"/>
      <c r="E2" s="50"/>
      <c r="F2" s="50"/>
      <c r="G2" s="50"/>
      <c r="H2" s="50"/>
      <c r="I2" s="50"/>
      <c r="J2" s="50"/>
      <c r="K2" s="50"/>
      <c r="L2" s="50"/>
      <c r="N2" s="41" t="s">
        <v>177</v>
      </c>
    </row>
    <row r="3" spans="2:21" ht="18.5" x14ac:dyDescent="0.45">
      <c r="B3" s="26"/>
      <c r="N3" s="37" t="s">
        <v>163</v>
      </c>
      <c r="O3" s="37" t="s">
        <v>172</v>
      </c>
      <c r="P3" s="37" t="s">
        <v>164</v>
      </c>
      <c r="Q3" s="37" t="s">
        <v>165</v>
      </c>
      <c r="R3" s="37" t="s">
        <v>166</v>
      </c>
      <c r="S3" s="37" t="s">
        <v>167</v>
      </c>
      <c r="T3" s="38" t="s">
        <v>168</v>
      </c>
      <c r="U3" s="37" t="s">
        <v>169</v>
      </c>
    </row>
    <row r="4" spans="2:21" ht="50.25" customHeight="1" x14ac:dyDescent="0.35">
      <c r="B4" s="28" t="s">
        <v>50</v>
      </c>
      <c r="C4" s="48" t="s">
        <v>183</v>
      </c>
      <c r="D4" s="48"/>
      <c r="E4" s="48"/>
      <c r="F4" s="48"/>
      <c r="G4" s="48"/>
      <c r="H4" s="48"/>
      <c r="I4" s="48"/>
      <c r="J4" s="48"/>
      <c r="K4" s="48"/>
      <c r="L4" s="48"/>
      <c r="N4" s="1"/>
      <c r="O4" s="1" t="str">
        <f>"=6"</f>
        <v>=6</v>
      </c>
      <c r="P4" s="1"/>
      <c r="Q4" s="1"/>
      <c r="R4" s="1"/>
      <c r="S4" s="35"/>
      <c r="T4" s="35"/>
      <c r="U4" s="1"/>
    </row>
    <row r="5" spans="2:21" ht="18.5" x14ac:dyDescent="0.35">
      <c r="B5" s="32"/>
      <c r="C5" s="29"/>
      <c r="D5" s="29"/>
      <c r="E5" s="34"/>
      <c r="F5" s="34"/>
      <c r="G5" s="34"/>
      <c r="H5" s="34"/>
      <c r="I5" s="34"/>
      <c r="J5" s="34"/>
      <c r="K5" s="34"/>
      <c r="L5" s="34"/>
      <c r="N5" s="1"/>
      <c r="O5" s="1"/>
      <c r="P5" s="1"/>
      <c r="Q5" s="1"/>
      <c r="R5" s="35"/>
      <c r="S5" s="36"/>
      <c r="T5" s="35"/>
      <c r="U5" s="1"/>
    </row>
    <row r="6" spans="2:21" ht="18.5" x14ac:dyDescent="0.35">
      <c r="B6" s="28" t="s">
        <v>171</v>
      </c>
      <c r="C6" s="33" t="s">
        <v>170</v>
      </c>
      <c r="D6" s="29"/>
      <c r="E6" s="34"/>
      <c r="F6" s="34"/>
      <c r="G6" s="34"/>
      <c r="H6" s="34"/>
      <c r="I6" s="34"/>
      <c r="J6" s="34"/>
      <c r="K6" s="34"/>
      <c r="L6" s="34"/>
      <c r="N6" s="41" t="s">
        <v>178</v>
      </c>
      <c r="O6" s="1"/>
      <c r="P6" s="1"/>
      <c r="Q6" s="1"/>
      <c r="R6" s="1"/>
      <c r="S6" s="35"/>
      <c r="T6" s="35"/>
      <c r="U6" s="1"/>
    </row>
    <row r="7" spans="2:21" ht="18.5" x14ac:dyDescent="0.35">
      <c r="B7" s="32"/>
      <c r="C7" s="33"/>
      <c r="D7" s="29"/>
      <c r="E7" s="34"/>
      <c r="F7" s="34"/>
      <c r="G7" s="34"/>
      <c r="H7" s="34"/>
      <c r="I7" s="34"/>
      <c r="J7" s="34"/>
      <c r="K7" s="34"/>
      <c r="L7" s="34"/>
      <c r="N7" s="37" t="s">
        <v>163</v>
      </c>
      <c r="O7" s="37" t="s">
        <v>172</v>
      </c>
      <c r="P7" s="37" t="s">
        <v>164</v>
      </c>
      <c r="Q7" s="37" t="s">
        <v>165</v>
      </c>
      <c r="R7" s="37" t="s">
        <v>166</v>
      </c>
      <c r="S7" s="37" t="s">
        <v>167</v>
      </c>
      <c r="T7" s="38" t="s">
        <v>168</v>
      </c>
      <c r="U7" s="37" t="s">
        <v>169</v>
      </c>
    </row>
    <row r="8" spans="2:21" ht="18.5" x14ac:dyDescent="0.35">
      <c r="B8" s="32"/>
      <c r="C8" s="33"/>
      <c r="D8" s="29"/>
      <c r="E8" s="34"/>
      <c r="F8" s="34"/>
      <c r="G8" s="34"/>
      <c r="H8" s="34"/>
      <c r="I8" s="34"/>
      <c r="J8" s="34"/>
      <c r="K8" s="34"/>
      <c r="L8" s="34"/>
      <c r="N8" s="1" t="s">
        <v>174</v>
      </c>
      <c r="P8" s="1"/>
      <c r="Q8" s="1"/>
      <c r="R8" s="1"/>
      <c r="S8" s="1" t="str">
        <f xml:space="preserve"> "DS"</f>
        <v>DS</v>
      </c>
      <c r="T8" s="35"/>
      <c r="U8" s="1"/>
    </row>
    <row r="9" spans="2:21" ht="18.5" x14ac:dyDescent="0.35">
      <c r="B9" s="32"/>
      <c r="C9" s="33"/>
      <c r="D9" s="29"/>
      <c r="E9" s="34"/>
      <c r="F9" s="34"/>
      <c r="G9" s="34"/>
      <c r="H9" s="34"/>
      <c r="I9" s="34"/>
      <c r="J9" s="34"/>
      <c r="K9" s="34"/>
      <c r="L9" s="34"/>
    </row>
    <row r="10" spans="2:21" ht="18.5" x14ac:dyDescent="0.35">
      <c r="B10" s="32"/>
      <c r="C10" s="33"/>
      <c r="D10" s="29"/>
      <c r="E10" s="34"/>
      <c r="F10" s="34"/>
      <c r="G10" s="34"/>
      <c r="H10" s="34"/>
      <c r="I10" s="34"/>
      <c r="J10" s="34"/>
      <c r="K10" s="34"/>
      <c r="L10" s="34"/>
      <c r="N10" s="41" t="s">
        <v>179</v>
      </c>
    </row>
    <row r="11" spans="2:21" ht="18.5" x14ac:dyDescent="0.35">
      <c r="B11" s="32"/>
      <c r="C11" s="33"/>
      <c r="D11" s="29"/>
      <c r="E11" s="34"/>
      <c r="F11" s="34"/>
      <c r="G11" s="34"/>
      <c r="H11" s="34"/>
      <c r="I11" s="34"/>
      <c r="J11" s="34"/>
      <c r="K11" s="34"/>
      <c r="L11" s="34"/>
      <c r="N11" s="37" t="s">
        <v>163</v>
      </c>
      <c r="O11" s="37" t="s">
        <v>163</v>
      </c>
      <c r="P11" s="37" t="s">
        <v>164</v>
      </c>
      <c r="Q11" s="37" t="s">
        <v>165</v>
      </c>
      <c r="R11" s="37" t="s">
        <v>166</v>
      </c>
      <c r="S11" s="37" t="s">
        <v>167</v>
      </c>
      <c r="T11" s="38" t="s">
        <v>168</v>
      </c>
      <c r="U11" s="37" t="s">
        <v>169</v>
      </c>
    </row>
    <row r="12" spans="2:21" ht="18.5" x14ac:dyDescent="0.35">
      <c r="B12" s="32"/>
      <c r="C12" s="33"/>
      <c r="D12" s="29"/>
      <c r="E12" s="34"/>
      <c r="F12" s="34"/>
      <c r="G12" s="34"/>
      <c r="H12" s="34"/>
      <c r="I12" s="34"/>
      <c r="J12" s="34"/>
      <c r="K12" s="34"/>
      <c r="L12" s="34"/>
      <c r="N12" s="1" t="s">
        <v>175</v>
      </c>
      <c r="O12" s="1" t="s">
        <v>176</v>
      </c>
      <c r="P12" s="1"/>
      <c r="Q12" s="1"/>
      <c r="R12" s="1"/>
      <c r="S12" s="1" t="str">
        <f xml:space="preserve"> "DS"</f>
        <v>DS</v>
      </c>
      <c r="T12" s="35"/>
      <c r="U12" s="1"/>
    </row>
    <row r="13" spans="2:21" ht="18.5" x14ac:dyDescent="0.35">
      <c r="B13" s="32"/>
      <c r="C13" s="33"/>
      <c r="D13" s="29"/>
      <c r="E13" s="34"/>
      <c r="F13" s="34"/>
      <c r="G13" s="34"/>
      <c r="H13" s="34"/>
      <c r="I13" s="34"/>
      <c r="J13" s="34"/>
      <c r="K13" s="34"/>
      <c r="L13" s="34"/>
    </row>
    <row r="14" spans="2:21" ht="18.5" x14ac:dyDescent="0.35">
      <c r="B14" s="32"/>
      <c r="C14" s="33"/>
      <c r="D14" s="29"/>
      <c r="E14" s="34"/>
      <c r="F14" s="34"/>
      <c r="G14" s="34"/>
      <c r="H14" s="34"/>
      <c r="I14" s="34"/>
      <c r="J14" s="34"/>
      <c r="K14" s="34"/>
      <c r="L14" s="34"/>
      <c r="N14" s="41" t="s">
        <v>180</v>
      </c>
    </row>
    <row r="15" spans="2:21" ht="18.5" x14ac:dyDescent="0.35">
      <c r="B15" s="32"/>
      <c r="C15" s="33"/>
      <c r="D15" s="29"/>
      <c r="E15" s="34"/>
      <c r="F15" s="34"/>
      <c r="G15" s="34"/>
      <c r="H15" s="34"/>
      <c r="I15" s="34"/>
      <c r="J15" s="34"/>
      <c r="K15" s="34"/>
      <c r="L15" s="34"/>
      <c r="N15" s="37" t="s">
        <v>163</v>
      </c>
      <c r="O15" s="37" t="s">
        <v>163</v>
      </c>
      <c r="P15" s="37" t="s">
        <v>164</v>
      </c>
      <c r="Q15" s="37" t="s">
        <v>165</v>
      </c>
      <c r="R15" s="37" t="s">
        <v>166</v>
      </c>
      <c r="S15" s="37" t="s">
        <v>167</v>
      </c>
      <c r="T15" s="38" t="s">
        <v>168</v>
      </c>
      <c r="U15" s="37" t="s">
        <v>169</v>
      </c>
    </row>
    <row r="16" spans="2:21" ht="18.5" x14ac:dyDescent="0.35">
      <c r="B16" s="32"/>
      <c r="C16" s="33"/>
      <c r="D16" s="29"/>
      <c r="E16" s="34"/>
      <c r="F16" s="34"/>
      <c r="G16" s="34"/>
      <c r="H16" s="34"/>
      <c r="I16" s="34"/>
      <c r="J16" s="34"/>
      <c r="K16" s="34"/>
      <c r="L16" s="34"/>
      <c r="N16" s="1" t="s">
        <v>175</v>
      </c>
      <c r="O16" s="1" t="s">
        <v>176</v>
      </c>
      <c r="P16" s="1"/>
      <c r="Q16" s="1"/>
      <c r="R16" s="1"/>
      <c r="S16" s="1" t="str">
        <f xml:space="preserve"> "DS"</f>
        <v>DS</v>
      </c>
      <c r="T16" s="35"/>
      <c r="U16" s="1"/>
    </row>
    <row r="17" spans="2:22" ht="18.5" x14ac:dyDescent="0.35">
      <c r="B17" s="32"/>
      <c r="C17" s="33"/>
      <c r="D17" s="29"/>
      <c r="E17" s="34"/>
      <c r="F17" s="34"/>
      <c r="G17" s="34"/>
      <c r="H17" s="34"/>
      <c r="I17" s="34"/>
      <c r="J17" s="34"/>
      <c r="K17" s="34"/>
      <c r="L17" s="34"/>
      <c r="N17" s="1" t="s">
        <v>175</v>
      </c>
      <c r="O17" s="1" t="s">
        <v>176</v>
      </c>
      <c r="P17" s="1"/>
      <c r="Q17" s="1"/>
      <c r="R17" s="1"/>
      <c r="S17" s="1" t="s">
        <v>86</v>
      </c>
      <c r="T17" s="35"/>
      <c r="U17" s="1"/>
    </row>
    <row r="18" spans="2:22" ht="18.5" x14ac:dyDescent="0.35">
      <c r="B18" s="32"/>
      <c r="C18" s="33"/>
      <c r="D18" s="29"/>
      <c r="E18" s="34"/>
      <c r="F18" s="34"/>
      <c r="G18" s="34"/>
      <c r="H18" s="34"/>
      <c r="I18" s="34"/>
      <c r="J18" s="34"/>
      <c r="K18" s="34"/>
      <c r="L18" s="34"/>
      <c r="N18" s="1"/>
      <c r="O18" s="1"/>
      <c r="P18" s="1"/>
      <c r="Q18" s="1"/>
      <c r="R18" s="1"/>
      <c r="S18" s="1"/>
      <c r="T18" s="35"/>
      <c r="U18" s="1"/>
    </row>
    <row r="19" spans="2:22" ht="18.5" x14ac:dyDescent="0.35">
      <c r="B19" s="32"/>
      <c r="C19" s="33"/>
      <c r="D19" s="29"/>
      <c r="E19" s="34"/>
      <c r="F19" s="34"/>
      <c r="G19" s="34"/>
      <c r="H19" s="34"/>
      <c r="I19" s="34"/>
      <c r="J19" s="34"/>
      <c r="K19" s="34"/>
      <c r="L19" s="34"/>
      <c r="N19" s="41" t="s">
        <v>181</v>
      </c>
      <c r="O19" s="1"/>
      <c r="P19" s="1"/>
      <c r="Q19" s="1"/>
      <c r="R19" s="1"/>
      <c r="S19" s="1"/>
      <c r="T19" s="35"/>
      <c r="U19" s="1"/>
    </row>
    <row r="21" spans="2:22" x14ac:dyDescent="0.35">
      <c r="E21" s="37" t="s">
        <v>163</v>
      </c>
      <c r="F21" s="37" t="s">
        <v>172</v>
      </c>
      <c r="G21" s="37" t="s">
        <v>164</v>
      </c>
      <c r="H21" s="37" t="s">
        <v>165</v>
      </c>
      <c r="I21" s="37" t="s">
        <v>166</v>
      </c>
      <c r="J21" s="37" t="s">
        <v>167</v>
      </c>
      <c r="K21" s="38" t="s">
        <v>168</v>
      </c>
      <c r="L21" s="37" t="s">
        <v>169</v>
      </c>
    </row>
    <row r="22" spans="2:22" x14ac:dyDescent="0.35">
      <c r="E22" s="1">
        <v>3</v>
      </c>
      <c r="F22" s="1">
        <v>6</v>
      </c>
      <c r="G22" s="1" t="s">
        <v>74</v>
      </c>
      <c r="H22" s="1" t="s">
        <v>75</v>
      </c>
      <c r="I22" s="1" t="s">
        <v>76</v>
      </c>
      <c r="J22" s="1" t="s">
        <v>77</v>
      </c>
      <c r="K22" s="39">
        <v>8.7916666666666657E-2</v>
      </c>
      <c r="L22" s="1" t="s">
        <v>78</v>
      </c>
    </row>
    <row r="23" spans="2:22" x14ac:dyDescent="0.35">
      <c r="E23" s="1">
        <v>4</v>
      </c>
      <c r="F23" s="1">
        <v>3</v>
      </c>
      <c r="G23" s="1" t="s">
        <v>79</v>
      </c>
      <c r="H23" s="1" t="s">
        <v>80</v>
      </c>
      <c r="I23" s="35" t="s">
        <v>81</v>
      </c>
      <c r="J23" s="36" t="s">
        <v>82</v>
      </c>
      <c r="K23" s="39">
        <v>9.087962962962963E-2</v>
      </c>
      <c r="L23" s="1" t="s">
        <v>83</v>
      </c>
    </row>
    <row r="24" spans="2:22" x14ac:dyDescent="0.35">
      <c r="E24" s="1">
        <v>5</v>
      </c>
      <c r="F24" s="1">
        <v>7</v>
      </c>
      <c r="G24" s="1" t="s">
        <v>84</v>
      </c>
      <c r="H24" s="1" t="s">
        <v>79</v>
      </c>
      <c r="I24" s="35" t="s">
        <v>85</v>
      </c>
      <c r="J24" s="1" t="s">
        <v>86</v>
      </c>
      <c r="K24" s="39">
        <v>9.297453703703705E-2</v>
      </c>
      <c r="L24" s="1" t="s">
        <v>87</v>
      </c>
    </row>
    <row r="25" spans="2:22" x14ac:dyDescent="0.35">
      <c r="E25" s="1">
        <v>14</v>
      </c>
      <c r="F25" s="1">
        <v>616</v>
      </c>
      <c r="G25" s="1" t="s">
        <v>120</v>
      </c>
      <c r="H25" s="1" t="s">
        <v>121</v>
      </c>
      <c r="I25" s="1" t="s">
        <v>122</v>
      </c>
      <c r="J25" s="35" t="s">
        <v>77</v>
      </c>
      <c r="K25" s="39">
        <v>0.10837962962962962</v>
      </c>
      <c r="L25" s="1" t="s">
        <v>123</v>
      </c>
    </row>
    <row r="26" spans="2:22" x14ac:dyDescent="0.35">
      <c r="E26" s="1">
        <v>6</v>
      </c>
      <c r="F26" s="1">
        <v>636</v>
      </c>
      <c r="G26" s="1" t="s">
        <v>88</v>
      </c>
      <c r="H26" s="1" t="s">
        <v>89</v>
      </c>
      <c r="I26" s="1" t="s">
        <v>90</v>
      </c>
      <c r="J26" s="35" t="s">
        <v>77</v>
      </c>
      <c r="K26" s="39">
        <v>9.3611111111111103E-2</v>
      </c>
      <c r="L26" s="1" t="s">
        <v>91</v>
      </c>
    </row>
    <row r="27" spans="2:22" x14ac:dyDescent="0.35">
      <c r="E27" s="1">
        <v>7</v>
      </c>
      <c r="F27" s="1">
        <v>543</v>
      </c>
      <c r="G27" s="1" t="s">
        <v>92</v>
      </c>
      <c r="H27" s="1" t="s">
        <v>93</v>
      </c>
      <c r="I27" s="1" t="s">
        <v>94</v>
      </c>
      <c r="J27" s="35" t="s">
        <v>86</v>
      </c>
      <c r="K27" s="39">
        <v>9.4305555555555545E-2</v>
      </c>
      <c r="L27" s="1" t="s">
        <v>95</v>
      </c>
    </row>
    <row r="28" spans="2:22" x14ac:dyDescent="0.35">
      <c r="E28" s="1">
        <v>8</v>
      </c>
      <c r="F28" s="1">
        <v>15</v>
      </c>
      <c r="G28" s="1" t="s">
        <v>96</v>
      </c>
      <c r="H28" s="1" t="s">
        <v>97</v>
      </c>
      <c r="I28" s="1" t="s">
        <v>98</v>
      </c>
      <c r="J28" s="35" t="s">
        <v>86</v>
      </c>
      <c r="K28" s="39">
        <v>9.5983796296296289E-2</v>
      </c>
      <c r="L28" s="1" t="s">
        <v>99</v>
      </c>
    </row>
    <row r="29" spans="2:22" x14ac:dyDescent="0.35">
      <c r="E29" s="1">
        <v>21</v>
      </c>
      <c r="F29" s="1">
        <v>664</v>
      </c>
      <c r="G29" s="1" t="s">
        <v>146</v>
      </c>
      <c r="H29" s="1" t="s">
        <v>147</v>
      </c>
      <c r="I29" s="1" t="s">
        <v>148</v>
      </c>
      <c r="J29" s="1" t="s">
        <v>77</v>
      </c>
      <c r="K29" s="39">
        <v>0.11115740740740741</v>
      </c>
      <c r="L29" s="1" t="s">
        <v>149</v>
      </c>
    </row>
    <row r="30" spans="2:22" x14ac:dyDescent="0.35">
      <c r="E30" s="1">
        <v>6</v>
      </c>
      <c r="F30" s="1">
        <v>636</v>
      </c>
      <c r="G30" s="1" t="s">
        <v>88</v>
      </c>
      <c r="H30" s="1" t="s">
        <v>89</v>
      </c>
      <c r="I30" s="1" t="s">
        <v>90</v>
      </c>
      <c r="J30" s="35" t="s">
        <v>77</v>
      </c>
      <c r="K30" s="39">
        <v>9.3611111111111103E-2</v>
      </c>
      <c r="L30" s="1" t="s">
        <v>91</v>
      </c>
    </row>
    <row r="31" spans="2:22" x14ac:dyDescent="0.35">
      <c r="E31" s="1">
        <v>9</v>
      </c>
      <c r="F31" s="1">
        <v>351</v>
      </c>
      <c r="G31" s="1" t="s">
        <v>100</v>
      </c>
      <c r="H31" s="1" t="s">
        <v>101</v>
      </c>
      <c r="I31" s="1" t="s">
        <v>102</v>
      </c>
      <c r="J31" s="35" t="s">
        <v>77</v>
      </c>
      <c r="K31" s="39">
        <v>0.10409722222222222</v>
      </c>
      <c r="L31" s="1" t="s">
        <v>103</v>
      </c>
      <c r="V31" s="1"/>
    </row>
    <row r="32" spans="2:22" x14ac:dyDescent="0.35">
      <c r="E32" s="1">
        <v>10</v>
      </c>
      <c r="F32" s="1">
        <v>669</v>
      </c>
      <c r="G32" s="1" t="s">
        <v>104</v>
      </c>
      <c r="H32" s="1" t="s">
        <v>105</v>
      </c>
      <c r="I32" s="1" t="s">
        <v>106</v>
      </c>
      <c r="J32" s="35" t="s">
        <v>77</v>
      </c>
      <c r="K32" s="39">
        <v>0.10542824074074074</v>
      </c>
      <c r="L32" s="1" t="s">
        <v>107</v>
      </c>
    </row>
    <row r="33" spans="5:21" x14ac:dyDescent="0.35">
      <c r="E33" s="1">
        <v>11</v>
      </c>
      <c r="F33" s="1">
        <v>437</v>
      </c>
      <c r="G33" s="1" t="s">
        <v>108</v>
      </c>
      <c r="H33" s="1" t="s">
        <v>109</v>
      </c>
      <c r="I33" s="1" t="s">
        <v>110</v>
      </c>
      <c r="J33" s="35" t="s">
        <v>77</v>
      </c>
      <c r="K33" s="39">
        <v>0.10563657407407408</v>
      </c>
      <c r="L33" s="1" t="s">
        <v>111</v>
      </c>
    </row>
    <row r="34" spans="5:21" x14ac:dyDescent="0.35">
      <c r="E34" s="1">
        <v>12</v>
      </c>
      <c r="F34" s="1">
        <v>734</v>
      </c>
      <c r="G34" s="1" t="s">
        <v>112</v>
      </c>
      <c r="H34" s="1" t="s">
        <v>113</v>
      </c>
      <c r="I34" s="1" t="s">
        <v>114</v>
      </c>
      <c r="J34" s="1" t="s">
        <v>86</v>
      </c>
      <c r="K34" s="39">
        <v>0.10658564814814815</v>
      </c>
      <c r="L34" s="1" t="s">
        <v>115</v>
      </c>
    </row>
    <row r="35" spans="5:21" x14ac:dyDescent="0.35">
      <c r="E35" s="1">
        <v>13</v>
      </c>
      <c r="F35" s="1">
        <v>436</v>
      </c>
      <c r="G35" s="1" t="s">
        <v>116</v>
      </c>
      <c r="H35" s="1" t="s">
        <v>117</v>
      </c>
      <c r="I35" s="1" t="s">
        <v>118</v>
      </c>
      <c r="J35" s="35" t="s">
        <v>77</v>
      </c>
      <c r="K35" s="39">
        <v>0.10833333333333334</v>
      </c>
      <c r="L35" s="1" t="s">
        <v>119</v>
      </c>
    </row>
    <row r="36" spans="5:21" x14ac:dyDescent="0.35">
      <c r="E36" s="1">
        <v>18</v>
      </c>
      <c r="F36" s="1">
        <v>575</v>
      </c>
      <c r="G36" s="1" t="s">
        <v>134</v>
      </c>
      <c r="H36" s="1" t="s">
        <v>135</v>
      </c>
      <c r="I36" s="1" t="s">
        <v>136</v>
      </c>
      <c r="J36" s="35" t="s">
        <v>77</v>
      </c>
      <c r="K36" s="39">
        <v>0.10990740740740741</v>
      </c>
      <c r="L36" s="1" t="s">
        <v>137</v>
      </c>
    </row>
    <row r="37" spans="5:21" x14ac:dyDescent="0.35">
      <c r="E37" s="1">
        <v>14</v>
      </c>
      <c r="F37" s="1">
        <v>616</v>
      </c>
      <c r="G37" s="1" t="s">
        <v>120</v>
      </c>
      <c r="H37" s="1" t="s">
        <v>121</v>
      </c>
      <c r="I37" s="1" t="s">
        <v>122</v>
      </c>
      <c r="J37" s="35" t="s">
        <v>77</v>
      </c>
      <c r="K37" s="39">
        <v>0.10837962962962962</v>
      </c>
      <c r="L37" s="1" t="s">
        <v>123</v>
      </c>
    </row>
    <row r="38" spans="5:21" x14ac:dyDescent="0.35">
      <c r="E38" s="1">
        <v>15</v>
      </c>
      <c r="F38" s="1">
        <v>478</v>
      </c>
      <c r="G38" s="1" t="s">
        <v>124</v>
      </c>
      <c r="H38" s="1" t="s">
        <v>125</v>
      </c>
      <c r="I38" s="1" t="s">
        <v>126</v>
      </c>
      <c r="J38" s="35" t="s">
        <v>77</v>
      </c>
      <c r="K38" s="39">
        <v>0.10847222222222223</v>
      </c>
      <c r="L38" s="1" t="s">
        <v>127</v>
      </c>
    </row>
    <row r="39" spans="5:21" x14ac:dyDescent="0.35">
      <c r="E39" s="1">
        <v>16</v>
      </c>
      <c r="F39" s="1">
        <v>519</v>
      </c>
      <c r="G39" s="1" t="s">
        <v>128</v>
      </c>
      <c r="H39" s="1" t="s">
        <v>129</v>
      </c>
      <c r="I39" s="1" t="s">
        <v>118</v>
      </c>
      <c r="J39" s="35" t="s">
        <v>77</v>
      </c>
      <c r="K39" s="39">
        <v>0.10873842592592593</v>
      </c>
      <c r="L39" s="1" t="s">
        <v>130</v>
      </c>
    </row>
    <row r="40" spans="5:21" x14ac:dyDescent="0.35">
      <c r="E40" s="1">
        <v>17</v>
      </c>
      <c r="F40" s="1">
        <v>47</v>
      </c>
      <c r="G40" s="1" t="s">
        <v>131</v>
      </c>
      <c r="H40" s="1" t="s">
        <v>162</v>
      </c>
      <c r="I40" s="1" t="s">
        <v>132</v>
      </c>
      <c r="J40" s="35" t="s">
        <v>77</v>
      </c>
      <c r="K40" s="39">
        <v>0.10983796296296296</v>
      </c>
      <c r="L40" s="1" t="s">
        <v>133</v>
      </c>
    </row>
    <row r="41" spans="5:21" x14ac:dyDescent="0.35">
      <c r="E41" s="1">
        <v>18</v>
      </c>
      <c r="F41" s="1">
        <v>575</v>
      </c>
      <c r="G41" s="1" t="s">
        <v>134</v>
      </c>
      <c r="H41" s="1" t="s">
        <v>135</v>
      </c>
      <c r="I41" s="1" t="s">
        <v>136</v>
      </c>
      <c r="J41" s="35" t="s">
        <v>77</v>
      </c>
      <c r="K41" s="39">
        <v>0.10990740740740741</v>
      </c>
      <c r="L41" s="1" t="s">
        <v>137</v>
      </c>
    </row>
    <row r="42" spans="5:21" x14ac:dyDescent="0.35">
      <c r="E42" s="1">
        <v>19</v>
      </c>
      <c r="F42" s="1">
        <v>490</v>
      </c>
      <c r="G42" s="1" t="s">
        <v>138</v>
      </c>
      <c r="H42" s="1" t="s">
        <v>139</v>
      </c>
      <c r="I42" s="1" t="s">
        <v>140</v>
      </c>
      <c r="J42" s="1" t="s">
        <v>86</v>
      </c>
      <c r="K42" s="39">
        <v>0.11010416666666667</v>
      </c>
      <c r="L42" s="1" t="s">
        <v>141</v>
      </c>
      <c r="N42" s="1"/>
      <c r="O42" s="1"/>
      <c r="P42" s="1"/>
      <c r="Q42" s="1"/>
      <c r="R42" s="1"/>
      <c r="S42" s="1"/>
      <c r="T42" s="35"/>
      <c r="U42" s="1"/>
    </row>
    <row r="43" spans="5:21" x14ac:dyDescent="0.35">
      <c r="E43" s="1">
        <v>20</v>
      </c>
      <c r="F43" s="1">
        <v>431</v>
      </c>
      <c r="G43" s="1" t="s">
        <v>142</v>
      </c>
      <c r="H43" s="1" t="s">
        <v>143</v>
      </c>
      <c r="I43" s="1" t="s">
        <v>144</v>
      </c>
      <c r="J43" s="1" t="s">
        <v>86</v>
      </c>
      <c r="K43" s="39">
        <v>0.11061342592592593</v>
      </c>
      <c r="L43" s="1" t="s">
        <v>145</v>
      </c>
      <c r="N43" s="1"/>
      <c r="O43" s="1"/>
      <c r="P43" s="1"/>
      <c r="Q43" s="1"/>
      <c r="R43" s="1"/>
      <c r="S43" s="1"/>
      <c r="T43" s="35"/>
      <c r="U43" s="1"/>
    </row>
    <row r="44" spans="5:21" x14ac:dyDescent="0.35">
      <c r="E44" s="1">
        <v>6</v>
      </c>
      <c r="F44" s="1">
        <v>636</v>
      </c>
      <c r="G44" s="1" t="s">
        <v>88</v>
      </c>
      <c r="H44" s="1" t="s">
        <v>89</v>
      </c>
      <c r="I44" s="1" t="s">
        <v>90</v>
      </c>
      <c r="J44" s="35" t="s">
        <v>77</v>
      </c>
      <c r="K44" s="39">
        <v>9.3611111111111103E-2</v>
      </c>
      <c r="L44" s="1" t="s">
        <v>91</v>
      </c>
    </row>
    <row r="45" spans="5:21" x14ac:dyDescent="0.35">
      <c r="E45" s="1">
        <v>21</v>
      </c>
      <c r="F45" s="1">
        <v>664</v>
      </c>
      <c r="G45" s="1" t="s">
        <v>146</v>
      </c>
      <c r="H45" s="1" t="s">
        <v>147</v>
      </c>
      <c r="I45" s="1" t="s">
        <v>148</v>
      </c>
      <c r="J45" s="1" t="s">
        <v>77</v>
      </c>
      <c r="K45" s="39">
        <v>0.11115740740740741</v>
      </c>
      <c r="L45" s="1" t="s">
        <v>149</v>
      </c>
    </row>
    <row r="46" spans="5:21" x14ac:dyDescent="0.35">
      <c r="E46" s="1">
        <v>22</v>
      </c>
      <c r="F46" s="1">
        <v>283</v>
      </c>
      <c r="G46" s="1" t="s">
        <v>150</v>
      </c>
      <c r="H46" s="1" t="s">
        <v>151</v>
      </c>
      <c r="I46" s="1" t="s">
        <v>140</v>
      </c>
      <c r="J46" s="1" t="s">
        <v>77</v>
      </c>
      <c r="K46" s="39">
        <v>0.11184027777777777</v>
      </c>
      <c r="L46" s="1" t="s">
        <v>152</v>
      </c>
    </row>
    <row r="47" spans="5:21" x14ac:dyDescent="0.35">
      <c r="E47" s="1">
        <v>23</v>
      </c>
      <c r="F47" s="1">
        <v>693</v>
      </c>
      <c r="G47" s="1" t="s">
        <v>153</v>
      </c>
      <c r="H47" s="1" t="s">
        <v>154</v>
      </c>
      <c r="I47" s="1" t="s">
        <v>155</v>
      </c>
      <c r="J47" s="1" t="s">
        <v>77</v>
      </c>
      <c r="K47" s="39">
        <v>0.11196759259259259</v>
      </c>
      <c r="L47" s="1" t="s">
        <v>156</v>
      </c>
    </row>
    <row r="48" spans="5:21" x14ac:dyDescent="0.35">
      <c r="E48" s="1">
        <v>24</v>
      </c>
      <c r="F48" s="1">
        <v>134</v>
      </c>
      <c r="G48" s="1" t="s">
        <v>157</v>
      </c>
      <c r="H48" s="1" t="s">
        <v>158</v>
      </c>
      <c r="I48" s="1" t="s">
        <v>159</v>
      </c>
      <c r="J48" s="1" t="s">
        <v>77</v>
      </c>
      <c r="K48" s="39">
        <v>0.11203703703703705</v>
      </c>
      <c r="L48" s="1" t="s">
        <v>160</v>
      </c>
    </row>
  </sheetData>
  <mergeCells count="2">
    <mergeCell ref="C4:L4"/>
    <mergeCell ref="C2:L2"/>
  </mergeCells>
  <hyperlinks>
    <hyperlink ref="C6" r:id="rId1" xr:uid="{00000000-0004-0000-0600-000000000000}"/>
  </hyperlinks>
  <pageMargins left="0.7" right="0.7" top="0.75" bottom="0.75" header="0.3" footer="0.3"/>
  <pageSetup paperSize="9" orientation="portrait" horizontalDpi="0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3">
    <tabColor theme="8" tint="0.39997558519241921"/>
  </sheetPr>
  <dimension ref="C10:N22"/>
  <sheetViews>
    <sheetView workbookViewId="0"/>
  </sheetViews>
  <sheetFormatPr defaultColWidth="11.453125" defaultRowHeight="14.5" x14ac:dyDescent="0.35"/>
  <cols>
    <col min="3" max="3" width="17.1796875" bestFit="1" customWidth="1"/>
    <col min="4" max="4" width="14.7265625" customWidth="1"/>
    <col min="10" max="10" width="11.1796875" customWidth="1"/>
    <col min="14" max="14" width="17.54296875" bestFit="1" customWidth="1"/>
    <col min="15" max="15" width="12.54296875" customWidth="1"/>
  </cols>
  <sheetData>
    <row r="10" spans="3:14" x14ac:dyDescent="0.35">
      <c r="J10" s="17"/>
    </row>
    <row r="11" spans="3:14" x14ac:dyDescent="0.35">
      <c r="J11" s="17"/>
    </row>
    <row r="14" spans="3:14" x14ac:dyDescent="0.35">
      <c r="N14" s="16"/>
    </row>
    <row r="15" spans="3:14" x14ac:dyDescent="0.35">
      <c r="C15" s="2" t="s">
        <v>1</v>
      </c>
      <c r="D15" s="3">
        <v>4</v>
      </c>
      <c r="N15" s="16"/>
    </row>
    <row r="16" spans="3:14" x14ac:dyDescent="0.35">
      <c r="C16" s="2" t="s">
        <v>2</v>
      </c>
      <c r="D16" s="3">
        <v>6.5</v>
      </c>
      <c r="N16" s="16"/>
    </row>
    <row r="17" spans="3:14" x14ac:dyDescent="0.35">
      <c r="C17" s="2" t="s">
        <v>3</v>
      </c>
      <c r="D17" s="4">
        <v>100000</v>
      </c>
      <c r="N17" s="16"/>
    </row>
    <row r="18" spans="3:14" x14ac:dyDescent="0.35">
      <c r="C18" s="2" t="s">
        <v>4</v>
      </c>
      <c r="D18" s="3">
        <v>200000</v>
      </c>
    </row>
    <row r="19" spans="3:14" x14ac:dyDescent="0.35">
      <c r="C19" s="2" t="s">
        <v>5</v>
      </c>
      <c r="D19" s="3">
        <v>400000</v>
      </c>
    </row>
    <row r="20" spans="3:14" x14ac:dyDescent="0.35">
      <c r="C20" s="2" t="s">
        <v>6</v>
      </c>
      <c r="D20" s="3">
        <f>D19+D18</f>
        <v>600000</v>
      </c>
    </row>
    <row r="21" spans="3:14" x14ac:dyDescent="0.35">
      <c r="C21" s="2" t="s">
        <v>7</v>
      </c>
      <c r="D21" s="3">
        <f>D17*D16</f>
        <v>650000</v>
      </c>
    </row>
    <row r="22" spans="3:14" x14ac:dyDescent="0.35">
      <c r="C22" s="5" t="s">
        <v>8</v>
      </c>
      <c r="D22" s="6">
        <f>D21-D20</f>
        <v>50000</v>
      </c>
    </row>
  </sheetData>
  <scenarios current="1" sqref="D20:D22">
    <scenario name="aa" locked="1" count="5" user="Xavier Hernanz" comment="Creado por Xavier Hernanz el 06/07/2011">
      <inputCells r="D15" val="4" numFmtId="165"/>
      <inputCells r="D16" val="6,5" numFmtId="165"/>
      <inputCells r="D17" val="100000" numFmtId="166"/>
      <inputCells r="D18" val="200000" numFmtId="165"/>
      <inputCells r="D19" val="400000" numFmtId="165"/>
    </scenario>
    <scenario name="bb" locked="1" count="5" user="Xavier Hernanz" comment="Creado por Xavier Hernanz el 06/07/2011">
      <inputCells r="D15" val="4" numFmtId="165"/>
      <inputCells r="D16" val="4" numFmtId="165"/>
      <inputCells r="D17" val="100000" numFmtId="166"/>
      <inputCells r="D18" val="200000" numFmtId="165"/>
      <inputCells r="D19" val="400000" numFmtId="165"/>
    </scenario>
  </scenario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6" tint="-0.249977111117893"/>
  </sheetPr>
  <dimension ref="A1:E8"/>
  <sheetViews>
    <sheetView workbookViewId="0"/>
  </sheetViews>
  <sheetFormatPr defaultColWidth="11.453125" defaultRowHeight="14.5" x14ac:dyDescent="0.35"/>
  <cols>
    <col min="1" max="1" width="16.7265625" bestFit="1" customWidth="1"/>
    <col min="3" max="3" width="17" bestFit="1" customWidth="1"/>
  </cols>
  <sheetData>
    <row r="1" spans="1:5" ht="26" x14ac:dyDescent="0.6">
      <c r="A1" s="7" t="s">
        <v>9</v>
      </c>
    </row>
    <row r="5" spans="1:5" x14ac:dyDescent="0.35">
      <c r="C5" s="8" t="s">
        <v>0</v>
      </c>
      <c r="D5" s="9">
        <v>10000</v>
      </c>
      <c r="E5" s="9"/>
    </row>
    <row r="6" spans="1:5" x14ac:dyDescent="0.35">
      <c r="C6" s="10" t="s">
        <v>10</v>
      </c>
      <c r="D6" s="11">
        <v>5</v>
      </c>
      <c r="E6" s="11" t="s">
        <v>11</v>
      </c>
    </row>
    <row r="7" spans="1:5" x14ac:dyDescent="0.35">
      <c r="C7" s="8" t="s">
        <v>12</v>
      </c>
      <c r="D7" s="12">
        <v>7.2</v>
      </c>
      <c r="E7" s="9" t="s">
        <v>13</v>
      </c>
    </row>
    <row r="8" spans="1:5" x14ac:dyDescent="0.35">
      <c r="C8" s="13" t="s">
        <v>14</v>
      </c>
      <c r="D8" s="14">
        <f>PMT(D7/1200,D6*12,-D5)</f>
        <v>198.956948194017</v>
      </c>
      <c r="E8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lcf76f155ced4ddcb4097134ff3c332f xmlns="76c91d98-7809-481a-a1ac-bd62ec4f59fb">
      <Terms xmlns="http://schemas.microsoft.com/office/infopath/2007/PartnerControls"/>
    </lcf76f155ced4ddcb4097134ff3c332f>
    <TaxCatchAll xmlns="85e6ab8e-cbd2-4a96-93f4-452498ebce46" xsi:nil="true"/>
  </documentManagement>
</p:properties>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2D76E759-E543-4668-8CE6-72F05B94901E}"/>
</file>

<file path=customXml/itemProps2.xml><?xml version="1.0" encoding="utf-8"?>
<ds:datastoreItem xmlns:ds="http://schemas.openxmlformats.org/officeDocument/2006/customXml" ds:itemID="{B4112CC5-FCB3-4A58-826C-78A8A30C52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A7676-C52F-4468-BA52-BCDCCDB28FF7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76c91d98-7809-481a-a1ac-bd62ec4f59fb"/>
    <ds:schemaRef ds:uri="85e6ab8e-cbd2-4a96-93f4-452498ebce46"/>
  </ds:schemaRefs>
</ds:datastoreItem>
</file>

<file path=customXml/itemProps4.xml><?xml version="1.0" encoding="utf-8"?>
<ds:datastoreItem xmlns:ds="http://schemas.openxmlformats.org/officeDocument/2006/customXml" ds:itemID="{10E35B61-8C00-4D6B-9E52-BA1F1D2A055B}">
  <ds:schemaRefs>
    <ds:schemaRef ds:uri="http://gemini/workbookcustomization/LinkedTables"/>
  </ds:schemaRefs>
</ds:datastoreItem>
</file>

<file path=customXml/itemProps5.xml><?xml version="1.0" encoding="utf-8"?>
<ds:datastoreItem xmlns:ds="http://schemas.openxmlformats.org/officeDocument/2006/customXml" ds:itemID="{E0A5AAAC-E818-4B06-9D32-20DEEF34E9D6}">
  <ds:schemaRefs>
    <ds:schemaRef ds:uri="http://gemini/workbookcustomization/MetadataRecoveryInform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Content</vt:lpstr>
      <vt:lpstr>Cell Naming_RAW</vt:lpstr>
      <vt:lpstr>Data Input_RAW</vt:lpstr>
      <vt:lpstr>Formato Condicional2_Solved</vt:lpstr>
      <vt:lpstr>Data Input_SOLVED</vt:lpstr>
      <vt:lpstr>SortFilter_RAW</vt:lpstr>
      <vt:lpstr>SortFilter_SOLVED</vt:lpstr>
      <vt:lpstr>what if</vt:lpstr>
      <vt:lpstr>What if2</vt:lpstr>
      <vt:lpstr>SortFilter_SOLVED!Criteria</vt:lpstr>
      <vt:lpstr>SortFilter_SOLVED!Extract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xavierh@micproductivity.com</dc:creator>
  <cp:lastModifiedBy>Javier Hernanz</cp:lastModifiedBy>
  <cp:lastPrinted>2011-05-27T10:50:53Z</cp:lastPrinted>
  <dcterms:created xsi:type="dcterms:W3CDTF">2008-09-18T16:34:56Z</dcterms:created>
  <dcterms:modified xsi:type="dcterms:W3CDTF">2022-09-29T05:54:02Z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0x010100124DCB57A783B74096DE66BE87A13E2E</vt:lpwstr>
  </property>
  <property fmtid="{D5CDD505-2E9C-101B-9397-08002B2CF9AE}" pid="3" name="Etiquetas">
    <vt:lpwstr/>
  </property>
  <property fmtid="{D5CDD505-2E9C-101B-9397-08002B2CF9AE}" pid="4" name="MediaServiceImageTags">
    <vt:lpwstr/>
  </property>
</Properties>
</file>