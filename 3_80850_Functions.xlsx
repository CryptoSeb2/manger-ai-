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codeName="ThisWorkbook"/>
  <xr:revisionPtr revIDLastSave="5" documentId="11_A7B8C63B5F8446D555FA65D293CBEC2A006F5785" xr6:coauthVersionLast="47" xr6:coauthVersionMax="47" xr10:uidLastSave="{8F4FBA5F-E363-4E38-85DF-C6AF06174161}"/>
  <bookViews>
    <workbookView xWindow="-10485" yWindow="-21600" windowWidth="37095" windowHeight="21000" tabRatio="810" xr2:uid="{00000000-000D-0000-FFFF-FFFF00000000}"/>
  </bookViews>
  <sheets>
    <sheet name="Content" sheetId="1" r:id="rId1"/>
    <sheet name="IF" sheetId="11" r:id="rId2"/>
    <sheet name="AND_RAW" sheetId="24" r:id="rId3"/>
    <sheet name="AND_SOLVED" sheetId="25" r:id="rId4"/>
    <sheet name="OR_RAW" sheetId="26" r:id="rId5"/>
    <sheet name="OR_SOLVED" sheetId="27" r:id="rId6"/>
    <sheet name="Nested IF_RAW" sheetId="28" r:id="rId7"/>
    <sheet name="Nested IF_SOLVED" sheetId="29" r:id="rId8"/>
    <sheet name="IFS_RAW" sheetId="30" r:id="rId9"/>
    <sheet name="IFS_SOLVED" sheetId="23" r:id="rId10"/>
    <sheet name="CHOOSE_RAW" sheetId="32" r:id="rId11"/>
    <sheet name="CHOOSE_SOLVED" sheetId="3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30" l="1" a="1"/>
  <c r="F9" i="30"/>
  <c r="C12" i="29"/>
  <c r="D17" i="31" l="1"/>
  <c r="D20" i="31" s="1"/>
  <c r="C25" i="23" l="1"/>
  <c r="C16" i="23"/>
  <c r="C15" i="23"/>
  <c r="C17" i="29" l="1"/>
  <c r="C21" i="27"/>
  <c r="C17" i="27"/>
  <c r="C13" i="27"/>
  <c r="C21" i="25"/>
  <c r="C17" i="25"/>
  <c r="C13"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<sst xmlns="http://schemas.openxmlformats.org/spreadsheetml/2006/main" count="169" uniqueCount="57">
  <si>
    <t>Adding Basic Formulas and Functions</t>
  </si>
  <si>
    <t>Value</t>
  </si>
  <si>
    <t>Result</t>
  </si>
  <si>
    <t>Counts the number of cells that contain numbers as well as the number of arguments that contain numbers</t>
  </si>
  <si>
    <t>Counts the number of cells in a range, that meets a given criteria</t>
  </si>
  <si>
    <t>IF</t>
  </si>
  <si>
    <t>Nested IF</t>
  </si>
  <si>
    <t>AND, OR</t>
  </si>
  <si>
    <t>IFS</t>
  </si>
  <si>
    <t>CHOOSE</t>
  </si>
  <si>
    <t>Item</t>
  </si>
  <si>
    <t>IFS Result</t>
  </si>
  <si>
    <t>Apple</t>
  </si>
  <si>
    <t>Fruit</t>
  </si>
  <si>
    <t>Potato</t>
  </si>
  <si>
    <t>Veg</t>
  </si>
  <si>
    <t>Steak</t>
  </si>
  <si>
    <t>Meat</t>
  </si>
  <si>
    <t>Coffee</t>
  </si>
  <si>
    <t>Misc</t>
  </si>
  <si>
    <t>IF( condition, [value_if_true], [value_if_false] )</t>
  </si>
  <si>
    <t>Returns one value if the condition is TRUE, or another value if the condition is FALSE.</t>
  </si>
  <si>
    <t>Built the above condition</t>
  </si>
  <si>
    <t>EADA</t>
  </si>
  <si>
    <t>AND</t>
  </si>
  <si>
    <t>AND( condition1, [condition2], ... )</t>
  </si>
  <si>
    <t>Returns TRUE if all conditions are TRUE. It returns FALSE if any of the conditions are FALSE.</t>
  </si>
  <si>
    <r>
      <t xml:space="preserve">Check if B7&gt;3 </t>
    </r>
    <r>
      <rPr>
        <b/>
        <sz val="10"/>
        <color rgb="FF333333"/>
        <rFont val="Consolas"/>
        <family val="3"/>
      </rPr>
      <t>AND</t>
    </r>
    <r>
      <rPr>
        <sz val="10"/>
        <color rgb="FF333333"/>
        <rFont val="Consolas"/>
        <family val="3"/>
      </rPr>
      <t xml:space="preserve"> B8=EADA</t>
    </r>
  </si>
  <si>
    <r>
      <t xml:space="preserve">Check if B7&gt;3 </t>
    </r>
    <r>
      <rPr>
        <b/>
        <sz val="10"/>
        <color rgb="FF333333"/>
        <rFont val="Consolas"/>
        <family val="3"/>
      </rPr>
      <t>AND</t>
    </r>
    <r>
      <rPr>
        <sz val="10"/>
        <color rgb="FF333333"/>
        <rFont val="Consolas"/>
        <family val="3"/>
      </rPr>
      <t xml:space="preserve"> B7&lt;10</t>
    </r>
  </si>
  <si>
    <r>
      <t xml:space="preserve">Check if B7&gt;3 </t>
    </r>
    <r>
      <rPr>
        <b/>
        <sz val="10"/>
        <color rgb="FF333333"/>
        <rFont val="Consolas"/>
        <family val="3"/>
      </rPr>
      <t>AND</t>
    </r>
    <r>
      <rPr>
        <sz val="10"/>
        <color rgb="FF333333"/>
        <rFont val="Consolas"/>
        <family val="3"/>
      </rPr>
      <t xml:space="preserve"> B8=IESE</t>
    </r>
  </si>
  <si>
    <t>OR</t>
  </si>
  <si>
    <t>Returns TRUE if any of the conditions are TRUE. Otherwise, it returns FALSE</t>
  </si>
  <si>
    <t>OR( condition1, [condition2], ... )</t>
  </si>
  <si>
    <r>
      <t xml:space="preserve">Check if B7&gt;3 </t>
    </r>
    <r>
      <rPr>
        <b/>
        <sz val="10"/>
        <color rgb="FF333333"/>
        <rFont val="Consolas"/>
        <family val="3"/>
      </rPr>
      <t>OR</t>
    </r>
    <r>
      <rPr>
        <sz val="10"/>
        <color rgb="FF333333"/>
        <rFont val="Consolas"/>
        <family val="3"/>
      </rPr>
      <t xml:space="preserve"> B7&lt;10</t>
    </r>
  </si>
  <si>
    <r>
      <t xml:space="preserve">Check if B7&gt;10 </t>
    </r>
    <r>
      <rPr>
        <b/>
        <sz val="10"/>
        <color rgb="FF333333"/>
        <rFont val="Consolas"/>
        <family val="3"/>
      </rPr>
      <t>OR</t>
    </r>
    <r>
      <rPr>
        <sz val="10"/>
        <color rgb="FF333333"/>
        <rFont val="Consolas"/>
        <family val="3"/>
      </rPr>
      <t xml:space="preserve"> B8=EADA</t>
    </r>
  </si>
  <si>
    <r>
      <t xml:space="preserve">Check if B7&gt;10 </t>
    </r>
    <r>
      <rPr>
        <b/>
        <sz val="10"/>
        <color rgb="FF333333"/>
        <rFont val="Consolas"/>
        <family val="3"/>
      </rPr>
      <t>OR</t>
    </r>
    <r>
      <rPr>
        <sz val="10"/>
        <color rgb="FF333333"/>
        <rFont val="Consolas"/>
        <family val="3"/>
      </rPr>
      <t xml:space="preserve"> B8=IESE</t>
    </r>
  </si>
  <si>
    <t>Grade</t>
  </si>
  <si>
    <t>Built the following condition:  0 &lt;= B6 &lt; 5</t>
  </si>
  <si>
    <t>Built the bellow condition</t>
  </si>
  <si>
    <t>IFS( condition1, return1 [,condition2, return2] ... [,condition127, return127] )</t>
  </si>
  <si>
    <r>
      <t xml:space="preserve">IFS Result </t>
    </r>
    <r>
      <rPr>
        <sz val="8"/>
        <color theme="0" tint="-4.9989318521683403E-2"/>
        <rFont val="Calibri"/>
        <family val="2"/>
        <scheme val="minor"/>
      </rPr>
      <t>(with ELSE)</t>
    </r>
  </si>
  <si>
    <r>
      <t>Result</t>
    </r>
    <r>
      <rPr>
        <sz val="8"/>
        <color theme="0" tint="-4.9989318521683403E-2"/>
        <rFont val="Calibri"/>
        <family val="2"/>
        <scheme val="minor"/>
      </rPr>
      <t xml:space="preserve"> (w/o ELSE)</t>
    </r>
  </si>
  <si>
    <r>
      <t>Result</t>
    </r>
    <r>
      <rPr>
        <sz val="8"/>
        <color theme="0" tint="-4.9989318521683403E-2"/>
        <rFont val="Calibri"/>
        <family val="2"/>
        <scheme val="minor"/>
      </rPr>
      <t xml:space="preserve"> (with ELSE)</t>
    </r>
  </si>
  <si>
    <r>
      <t xml:space="preserve">This function replaces the old method of nesting multiple IF functions and lets you enter up to 127 conditions making
 your formulas easy to read and understand. The only downside to this function is that you can't specify an ELSE condition
</t>
    </r>
    <r>
      <rPr>
        <i/>
        <sz val="11"/>
        <color theme="4"/>
        <rFont val="Calibri"/>
        <family val="2"/>
        <scheme val="minor"/>
      </rPr>
      <t>(Only available in Excel 2016)</t>
    </r>
  </si>
  <si>
    <t xml:space="preserve">Re-build the nested condition of the previous sheet using IFS </t>
  </si>
  <si>
    <t>COUNT</t>
  </si>
  <si>
    <t>COUNTIF</t>
  </si>
  <si>
    <t>This IF function  lets you enter up to 127 conditions</t>
  </si>
  <si>
    <t>Function</t>
  </si>
  <si>
    <t>ID</t>
  </si>
  <si>
    <t>Description</t>
  </si>
  <si>
    <t>Create the condition that provides the ID for each Function you choose</t>
  </si>
  <si>
    <t>Use the function CHOOSE to show the Description for the ID obtained in the previous formula</t>
  </si>
  <si>
    <t>CHOOSE( position, value1, [value2, ... value_n] )</t>
  </si>
  <si>
    <t>Returns a value from a list of values based on a given position</t>
  </si>
  <si>
    <t>Built the following condition (see the chart):  0 &lt;= B6 &lt; 5</t>
  </si>
  <si>
    <t>Functions Training1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</si>
</sst>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6"/>
      <color theme="1"/>
      <name val="Calibri"/>
      <family val="2"/>
      <scheme val="minor"/>
    </font>
    <font>
      <b/>
      <sz val="20"/>
      <color theme="0" tint="-0.499984740745262"/>
      <name val="Calibri"/>
      <family val="2"/>
      <scheme val="minor"/>
    </font>
    <font>
      <b/>
      <sz val="11"/>
      <color theme="0" tint="-4.9989318521683403E-2"/>
      <name val="Calibri"/>
      <family val="2"/>
      <scheme val="minor"/>
    </font>
    <font>
      <sz val="10"/>
      <color rgb="FF333333"/>
      <name val="Consolas"/>
      <family val="3"/>
    </font>
    <font>
      <sz val="11"/>
      <color rgb="FF333333"/>
      <name val="Consolas"/>
      <family val="3"/>
    </font>
    <font>
      <b/>
      <sz val="16"/>
      <color theme="1"/>
      <name val="Calibri"/>
      <family val="2"/>
      <scheme val="minor"/>
    </font>
    <font>
      <sz val="11"/>
      <color rgb="FF333333"/>
      <name val="Calibri"/>
      <family val="2"/>
      <scheme val="minor"/>
    </font>
    <font>
      <sz val="10"/>
      <color theme="1"/>
      <name val="Calibri"/>
      <family val="2"/>
      <scheme val="minor"/>
    </font>
    <font>
      <b/>
      <sz val="16"/>
      <color theme="5"/>
      <name val="Calibri"/>
      <family val="2"/>
      <scheme val="minor"/>
    </font>
    <font>
      <sz val="11"/>
      <name val="Calibri"/>
      <family val="2"/>
      <scheme val="minor"/>
    </font>
    <font>
      <b/>
      <sz val="10"/>
      <color rgb="FF333333"/>
      <name val="Consolas"/>
      <family val="3"/>
    </font>
    <font>
      <sz val="8"/>
      <color theme="0" tint="-4.9989318521683403E-2"/>
      <name val="Calibri"/>
      <family val="2"/>
      <scheme val="minor"/>
    </font>
    <font>
      <i/>
      <sz val="11"/>
      <color theme="4"/>
      <name val="Calibri"/>
      <family val="2"/>
      <scheme val="minor"/>
    </font>
    <font>
      <sz val="9"/>
      <color theme="1"/>
      <name val="Calibri"/>
      <family val="2"/>
      <scheme val="minor"/>
    </font>
  </fonts>
  <fills count="3">
    <fill>
      <patternFill patternType="none"/>
    </fill>
    <fill>
      <patternFill patternType="gray125"/>
    </fill>
    <fill>
      <patternFill patternType="solid">
        <fgColor theme="4"/>
        <bgColor indexed="64"/>
      </patternFill>
    </fill>
  </fills>
  <borders count="4">
    <border>
      <left/>
      <right/>
      <top/>
      <bottom/>
      <diagonal/>
    </border>
    <border>
      <left style="medium">
        <color rgb="FFDDDDDD"/>
      </left>
      <right style="medium">
        <color rgb="FFDDDDDD"/>
      </right>
      <top style="medium">
        <color rgb="FFDDDDDD"/>
      </top>
      <bottom style="medium">
        <color rgb="FFDDDDDD"/>
      </bottom>
      <diagonal/>
    </border>
    <border>
      <left style="thick">
        <color theme="4"/>
      </left>
      <right style="thick">
        <color theme="4"/>
      </right>
      <top style="thick">
        <color theme="4"/>
      </top>
      <bottom style="thick">
        <color theme="4"/>
      </bottom>
      <diagonal/>
    </border>
    <border>
      <left style="thick">
        <color theme="4"/>
      </left>
      <right/>
      <top/>
      <bottom/>
      <diagonal/>
    </border>
  </borders>
  <cellStyleXfs count="1">
    <xf numFmtId="0" fontId="0" fillId="0" borderId="0"/>
  </cellStyleXfs>
  <cellXfs count="28">
    <xf numFmtId="0" fontId="0" fillId="0" borderId="0" xfId="0"/>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0" fontId="3" fillId="2" borderId="0" xfId="0" applyFont="1" applyFill="1"/>
    <xf numFmtId="0" fontId="4" fillId="0" borderId="1" xfId="0" applyFont="1" applyBorder="1" applyAlignment="1">
      <alignment vertical="center"/>
    </xf>
    <xf numFmtId="0" fontId="6" fillId="0" borderId="0" xfId="0" applyFont="1"/>
    <xf numFmtId="0" fontId="0" fillId="0" borderId="0" xfId="0" applyFill="1"/>
    <xf numFmtId="0" fontId="0" fillId="0" borderId="2" xfId="0" applyBorder="1"/>
    <xf numFmtId="0" fontId="7" fillId="0" borderId="0" xfId="0" applyFont="1"/>
    <xf numFmtId="0" fontId="8" fillId="0" borderId="0" xfId="0" applyFont="1"/>
    <xf numFmtId="0" fontId="9" fillId="0" borderId="0" xfId="0" applyFont="1" applyAlignment="1">
      <alignment horizontal="center"/>
    </xf>
    <xf numFmtId="0" fontId="0" fillId="0" borderId="0" xfId="0"/>
    <xf numFmtId="0" fontId="0" fillId="0" borderId="0" xfId="0" applyNumberFormat="1" applyAlignment="1">
      <alignment horizontal="left"/>
    </xf>
    <xf numFmtId="0" fontId="10" fillId="0" borderId="0" xfId="0" applyNumberFormat="1" applyFont="1" applyFill="1" applyAlignment="1">
      <alignment horizontal="left"/>
    </xf>
    <xf numFmtId="0" fontId="0" fillId="0" borderId="0" xfId="0" quotePrefix="1" applyNumberFormat="1" applyAlignment="1">
      <alignment horizontal="left"/>
    </xf>
    <xf numFmtId="0" fontId="5" fillId="0" borderId="1" xfId="0" applyFont="1" applyBorder="1" applyAlignment="1">
      <alignment horizontal="left" vertical="center" indent="1"/>
    </xf>
    <xf numFmtId="0" fontId="3" fillId="0" borderId="0" xfId="0" applyFont="1" applyFill="1"/>
    <xf numFmtId="0" fontId="10" fillId="0" borderId="0" xfId="0" quotePrefix="1" applyNumberFormat="1" applyFont="1" applyFill="1" applyAlignment="1">
      <alignment horizontal="left"/>
    </xf>
    <xf numFmtId="0" fontId="0" fillId="0" borderId="0" xfId="0" applyNumberFormat="1" applyFill="1" applyAlignment="1">
      <alignment horizontal="left"/>
    </xf>
    <xf numFmtId="0" fontId="0" fillId="0" borderId="0" xfId="0" quotePrefix="1" applyNumberFormat="1" applyFill="1" applyAlignment="1">
      <alignment horizontal="left"/>
    </xf>
    <xf numFmtId="0" fontId="6" fillId="0" borderId="0" xfId="0" applyFont="1" applyAlignment="1">
      <alignment vertical="top"/>
    </xf>
    <xf numFmtId="0" fontId="0" fillId="0" borderId="0" xfId="0" applyBorder="1"/>
    <xf numFmtId="0" fontId="0" fillId="0" borderId="2" xfId="0" applyBorder="1" applyAlignment="1">
      <alignment horizontal="center"/>
    </xf>
    <xf numFmtId="0" fontId="3" fillId="2" borderId="0" xfId="0" applyFont="1" applyFill="1" applyAlignment="1">
      <alignment horizontal="center"/>
    </xf>
    <xf numFmtId="0" fontId="0" fillId="0" borderId="0" xfId="0" applyAlignment="1">
      <alignment horizontal="left" vertical="top" wrapText="1"/>
    </xf>
    <xf numFmtId="0" fontId="14" fillId="0" borderId="3" xfId="0" applyFont="1" applyBorder="1" applyAlignment="1">
      <alignment horizontal="center"/>
    </xf>
    <xf numFmtId="0" fontId="14" fillId="0" borderId="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9526</xdr:rowOff>
    </xdr:from>
    <xdr:to>
      <xdr:col>2</xdr:col>
      <xdr:colOff>381000</xdr:colOff>
      <xdr:row>12</xdr:row>
      <xdr:rowOff>20242</xdr:rowOff>
    </xdr:to>
    <xdr:pic>
      <xdr:nvPicPr>
        <xdr:cNvPr id="2" name="Imagen 1">
          <a:extLst>
            <a:ext uri="{FF2B5EF4-FFF2-40B4-BE49-F238E27FC236}">
              <a16:creationId xmlns:a16="http://schemas.microsoft.com/office/drawing/2014/main" id="{7DD615DD-C186-4CE9-A083-0514AA88B6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300" y="581026"/>
          <a:ext cx="4600575" cy="1725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13138</xdr:colOff>
      <xdr:row>8</xdr:row>
      <xdr:rowOff>72258</xdr:rowOff>
    </xdr:from>
    <xdr:to>
      <xdr:col>3</xdr:col>
      <xdr:colOff>512378</xdr:colOff>
      <xdr:row>16</xdr:row>
      <xdr:rowOff>3303</xdr:rowOff>
    </xdr:to>
    <xdr:pic>
      <xdr:nvPicPr>
        <xdr:cNvPr id="54" name="Picture 53">
          <a:extLst>
            <a:ext uri="{FF2B5EF4-FFF2-40B4-BE49-F238E27FC236}">
              <a16:creationId xmlns:a16="http://schemas.microsoft.com/office/drawing/2014/main" id="{10B6ED78-7DE2-4AB6-BAF2-6348D3566033}"/>
            </a:ext>
          </a:extLst>
        </xdr:cNvPr>
        <xdr:cNvPicPr>
          <a:picLocks noChangeAspect="1"/>
        </xdr:cNvPicPr>
      </xdr:nvPicPr>
      <xdr:blipFill>
        <a:blip xmlns:r="http://schemas.openxmlformats.org/officeDocument/2006/relationships" r:embed="rId1"/>
        <a:stretch>
          <a:fillRect/>
        </a:stretch>
      </xdr:blipFill>
      <xdr:spPr>
        <a:xfrm>
          <a:off x="853966" y="1688224"/>
          <a:ext cx="2180895" cy="1455045"/>
        </a:xfrm>
        <a:prstGeom prst="rect">
          <a:avLst/>
        </a:prstGeom>
      </xdr:spPr>
    </xdr:pic>
    <xdr:clientData/>
  </xdr:twoCellAnchor>
  <xdr:twoCellAnchor editAs="oneCell">
    <xdr:from>
      <xdr:col>4</xdr:col>
      <xdr:colOff>13139</xdr:colOff>
      <xdr:row>8</xdr:row>
      <xdr:rowOff>72257</xdr:rowOff>
    </xdr:from>
    <xdr:to>
      <xdr:col>6</xdr:col>
      <xdr:colOff>689741</xdr:colOff>
      <xdr:row>16</xdr:row>
      <xdr:rowOff>20054</xdr:rowOff>
    </xdr:to>
    <xdr:pic>
      <xdr:nvPicPr>
        <xdr:cNvPr id="71" name="Picture 70">
          <a:extLst>
            <a:ext uri="{FF2B5EF4-FFF2-40B4-BE49-F238E27FC236}">
              <a16:creationId xmlns:a16="http://schemas.microsoft.com/office/drawing/2014/main" id="{659B790D-E515-4167-8BBC-C5FBE6A8AA5C}"/>
            </a:ext>
          </a:extLst>
        </xdr:cNvPr>
        <xdr:cNvPicPr>
          <a:picLocks noChangeAspect="1"/>
        </xdr:cNvPicPr>
      </xdr:nvPicPr>
      <xdr:blipFill>
        <a:blip xmlns:r="http://schemas.openxmlformats.org/officeDocument/2006/relationships" r:embed="rId2"/>
        <a:stretch>
          <a:fillRect/>
        </a:stretch>
      </xdr:blipFill>
      <xdr:spPr>
        <a:xfrm>
          <a:off x="3376449" y="1688223"/>
          <a:ext cx="2358258" cy="1471797"/>
        </a:xfrm>
        <a:prstGeom prst="rect">
          <a:avLst/>
        </a:prstGeom>
      </xdr:spPr>
    </xdr:pic>
    <xdr:clientData/>
  </xdr:twoCellAnchor>
  <xdr:twoCellAnchor editAs="oneCell">
    <xdr:from>
      <xdr:col>7</xdr:col>
      <xdr:colOff>6569</xdr:colOff>
      <xdr:row>8</xdr:row>
      <xdr:rowOff>65689</xdr:rowOff>
    </xdr:from>
    <xdr:to>
      <xdr:col>9</xdr:col>
      <xdr:colOff>139398</xdr:colOff>
      <xdr:row>16</xdr:row>
      <xdr:rowOff>39413</xdr:rowOff>
    </xdr:to>
    <xdr:pic>
      <xdr:nvPicPr>
        <xdr:cNvPr id="80" name="Picture 79">
          <a:extLst>
            <a:ext uri="{FF2B5EF4-FFF2-40B4-BE49-F238E27FC236}">
              <a16:creationId xmlns:a16="http://schemas.microsoft.com/office/drawing/2014/main" id="{DA4743D8-B275-4D90-A268-C600256537D7}"/>
            </a:ext>
          </a:extLst>
        </xdr:cNvPr>
        <xdr:cNvPicPr>
          <a:picLocks noChangeAspect="1"/>
        </xdr:cNvPicPr>
      </xdr:nvPicPr>
      <xdr:blipFill>
        <a:blip xmlns:r="http://schemas.openxmlformats.org/officeDocument/2006/relationships" r:embed="rId3"/>
        <a:stretch>
          <a:fillRect/>
        </a:stretch>
      </xdr:blipFill>
      <xdr:spPr>
        <a:xfrm>
          <a:off x="6115707" y="1681655"/>
          <a:ext cx="1814484" cy="14977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30</xdr:row>
      <xdr:rowOff>63743</xdr:rowOff>
    </xdr:from>
    <xdr:to>
      <xdr:col>8</xdr:col>
      <xdr:colOff>66071</xdr:colOff>
      <xdr:row>76</xdr:row>
      <xdr:rowOff>133015</xdr:rowOff>
    </xdr:to>
    <xdr:pic>
      <xdr:nvPicPr>
        <xdr:cNvPr id="3" name="Picture 2">
          <a:extLst>
            <a:ext uri="{FF2B5EF4-FFF2-40B4-BE49-F238E27FC236}">
              <a16:creationId xmlns:a16="http://schemas.microsoft.com/office/drawing/2014/main" id="{BD714EF1-FCD7-4016-880A-C7BB0C9EF6E5}"/>
            </a:ext>
          </a:extLst>
        </xdr:cNvPr>
        <xdr:cNvPicPr>
          <a:picLocks noChangeAspect="1"/>
        </xdr:cNvPicPr>
      </xdr:nvPicPr>
      <xdr:blipFill>
        <a:blip xmlns:r="http://schemas.openxmlformats.org/officeDocument/2006/relationships" r:embed="rId1"/>
        <a:stretch>
          <a:fillRect/>
        </a:stretch>
      </xdr:blipFill>
      <xdr:spPr>
        <a:xfrm>
          <a:off x="57150" y="4664318"/>
          <a:ext cx="5495321" cy="8832272"/>
        </a:xfrm>
        <a:prstGeom prst="rect">
          <a:avLst/>
        </a:prstGeom>
      </xdr:spPr>
    </xdr:pic>
    <xdr:clientData/>
  </xdr:twoCellAnchor>
  <xdr:twoCellAnchor editAs="oneCell">
    <xdr:from>
      <xdr:col>1</xdr:col>
      <xdr:colOff>359018</xdr:colOff>
      <xdr:row>13</xdr:row>
      <xdr:rowOff>43961</xdr:rowOff>
    </xdr:from>
    <xdr:to>
      <xdr:col>6</xdr:col>
      <xdr:colOff>168519</xdr:colOff>
      <xdr:row>24</xdr:row>
      <xdr:rowOff>7449</xdr:rowOff>
    </xdr:to>
    <xdr:pic>
      <xdr:nvPicPr>
        <xdr:cNvPr id="2" name="Imagen 1">
          <a:extLst>
            <a:ext uri="{FF2B5EF4-FFF2-40B4-BE49-F238E27FC236}">
              <a16:creationId xmlns:a16="http://schemas.microsoft.com/office/drawing/2014/main" id="{E485CED0-D635-4C81-934D-C5F7F18EFDEA}"/>
            </a:ext>
          </a:extLst>
        </xdr:cNvPr>
        <xdr:cNvPicPr>
          <a:picLocks noChangeAspect="1"/>
        </xdr:cNvPicPr>
      </xdr:nvPicPr>
      <xdr:blipFill>
        <a:blip xmlns:r="http://schemas.openxmlformats.org/officeDocument/2006/relationships" r:embed="rId2"/>
        <a:stretch>
          <a:fillRect/>
        </a:stretch>
      </xdr:blipFill>
      <xdr:spPr>
        <a:xfrm>
          <a:off x="967153" y="2637692"/>
          <a:ext cx="2850174" cy="20589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666751</xdr:colOff>
      <xdr:row>0</xdr:row>
      <xdr:rowOff>161193</xdr:rowOff>
    </xdr:from>
    <xdr:to>
      <xdr:col>13</xdr:col>
      <xdr:colOff>117231</xdr:colOff>
      <xdr:row>15</xdr:row>
      <xdr:rowOff>173469</xdr:rowOff>
    </xdr:to>
    <xdr:pic>
      <xdr:nvPicPr>
        <xdr:cNvPr id="2" name="Picture 1">
          <a:extLst>
            <a:ext uri="{FF2B5EF4-FFF2-40B4-BE49-F238E27FC236}">
              <a16:creationId xmlns:a16="http://schemas.microsoft.com/office/drawing/2014/main" id="{AE8D5010-D258-4FAC-A7ED-4B739D4DA66A}"/>
            </a:ext>
          </a:extLst>
        </xdr:cNvPr>
        <xdr:cNvPicPr>
          <a:picLocks noChangeAspect="1"/>
        </xdr:cNvPicPr>
      </xdr:nvPicPr>
      <xdr:blipFill>
        <a:blip xmlns:r="http://schemas.openxmlformats.org/officeDocument/2006/relationships" r:embed="rId1"/>
        <a:stretch>
          <a:fillRect/>
        </a:stretch>
      </xdr:blipFill>
      <xdr:spPr>
        <a:xfrm>
          <a:off x="4799136" y="161193"/>
          <a:ext cx="4271595" cy="2993378"/>
        </a:xfrm>
        <a:prstGeom prst="rect">
          <a:avLst/>
        </a:prstGeom>
      </xdr:spPr>
    </xdr:pic>
    <xdr:clientData/>
  </xdr:twoCellAnchor>
  <xdr:twoCellAnchor editAs="oneCell">
    <xdr:from>
      <xdr:col>0</xdr:col>
      <xdr:colOff>0</xdr:colOff>
      <xdr:row>19</xdr:row>
      <xdr:rowOff>0</xdr:rowOff>
    </xdr:from>
    <xdr:to>
      <xdr:col>7</xdr:col>
      <xdr:colOff>263829</xdr:colOff>
      <xdr:row>65</xdr:row>
      <xdr:rowOff>69272</xdr:rowOff>
    </xdr:to>
    <xdr:pic>
      <xdr:nvPicPr>
        <xdr:cNvPr id="96" name="Picture 95">
          <a:extLst>
            <a:ext uri="{FF2B5EF4-FFF2-40B4-BE49-F238E27FC236}">
              <a16:creationId xmlns:a16="http://schemas.microsoft.com/office/drawing/2014/main" id="{7F0FA938-3BCC-4E8F-B7FD-EB3E949F431C}"/>
            </a:ext>
          </a:extLst>
        </xdr:cNvPr>
        <xdr:cNvPicPr>
          <a:picLocks noChangeAspect="1"/>
        </xdr:cNvPicPr>
      </xdr:nvPicPr>
      <xdr:blipFill>
        <a:blip xmlns:r="http://schemas.openxmlformats.org/officeDocument/2006/relationships" r:embed="rId2"/>
        <a:stretch>
          <a:fillRect/>
        </a:stretch>
      </xdr:blipFill>
      <xdr:spPr>
        <a:xfrm>
          <a:off x="0" y="4260273"/>
          <a:ext cx="5518767" cy="88322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3:B22"/>
  <sheetViews>
    <sheetView showGridLines="0" showRowColHeaders="0" tabSelected="1" workbookViewId="0">
      <selection activeCell="B17" sqref="B17"/>
    </sheetView>
  </sheetViews>
  <sheetFormatPr defaultColWidth="9" defaultRowHeight="14.5" x14ac:dyDescent="0.35"/>
  <cols>
    <col min="2" max="2" width="57.81640625" style="1" customWidth="1"/>
    <col min="3" max="3" width="10" customWidth="1"/>
    <col min="4" max="4" width="9.453125" customWidth="1"/>
  </cols>
  <sheetData>
    <row r="3" spans="2:2" ht="26" x14ac:dyDescent="0.6">
      <c r="B3" s="3" t="s">
        <v>0</v>
      </c>
    </row>
    <row r="16" spans="2:2" ht="21" x14ac:dyDescent="0.5">
      <c r="B16" s="11" t="s">
        <v>56</v>
      </c>
    </row>
    <row r="17" spans="2:2" ht="21" x14ac:dyDescent="0.5">
      <c r="B17" s="2" t="s">
        <v>5</v>
      </c>
    </row>
    <row r="18" spans="2:2" ht="21" x14ac:dyDescent="0.5">
      <c r="B18" s="2" t="s">
        <v>7</v>
      </c>
    </row>
    <row r="19" spans="2:2" ht="21" x14ac:dyDescent="0.5">
      <c r="B19" s="2" t="s">
        <v>6</v>
      </c>
    </row>
    <row r="20" spans="2:2" ht="21" x14ac:dyDescent="0.5">
      <c r="B20" s="2" t="s">
        <v>8</v>
      </c>
    </row>
    <row r="21" spans="2:2" ht="21" x14ac:dyDescent="0.5">
      <c r="B21" s="2" t="s">
        <v>9</v>
      </c>
    </row>
    <row r="22" spans="2:2" ht="21" x14ac:dyDescent="0.5">
      <c r="B22" s="2"/>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I20"/>
  <sheetViews>
    <sheetView zoomScale="145" zoomScaleNormal="145" workbookViewId="0">
      <selection activeCell="G6" sqref="G6"/>
    </sheetView>
  </sheetViews>
  <sheetFormatPr defaultColWidth="11" defaultRowHeight="14.5" x14ac:dyDescent="0.35"/>
  <cols>
    <col min="7" max="7" width="14" customWidth="1"/>
  </cols>
  <sheetData>
    <row r="2" spans="2:6" ht="21.5" thickBot="1" x14ac:dyDescent="0.55000000000000004">
      <c r="B2" s="6" t="s">
        <v>5</v>
      </c>
      <c r="C2" s="9" t="s">
        <v>21</v>
      </c>
    </row>
    <row r="3" spans="2:6" ht="15" thickBot="1" x14ac:dyDescent="0.4">
      <c r="B3" s="16" t="s">
        <v>20</v>
      </c>
    </row>
    <row r="5" spans="2:6" s="12" customFormat="1" x14ac:dyDescent="0.35">
      <c r="B5" s="4" t="s">
        <v>1</v>
      </c>
    </row>
    <row r="6" spans="2:6" s="12" customFormat="1" x14ac:dyDescent="0.35">
      <c r="B6" s="12">
        <v>5</v>
      </c>
    </row>
    <row r="7" spans="2:6" s="12" customFormat="1" x14ac:dyDescent="0.35">
      <c r="B7" s="12" t="s">
        <v>23</v>
      </c>
    </row>
    <row r="10" spans="2:6" x14ac:dyDescent="0.35">
      <c r="B10" s="17"/>
      <c r="C10" s="17"/>
      <c r="D10" s="17"/>
      <c r="E10" s="17"/>
      <c r="F10" s="7"/>
    </row>
    <row r="11" spans="2:6" x14ac:dyDescent="0.35">
      <c r="B11" s="14"/>
      <c r="C11" s="14"/>
      <c r="D11" s="18"/>
      <c r="E11" s="18"/>
      <c r="F11" s="7"/>
    </row>
    <row r="12" spans="2:6" x14ac:dyDescent="0.35">
      <c r="B12" s="19"/>
      <c r="C12" s="7"/>
      <c r="D12" s="19"/>
      <c r="E12" s="19"/>
      <c r="F12" s="7"/>
    </row>
    <row r="13" spans="2:6" x14ac:dyDescent="0.35">
      <c r="B13" s="19"/>
      <c r="C13" s="7"/>
      <c r="D13" s="19"/>
      <c r="E13" s="19"/>
      <c r="F13" s="7"/>
    </row>
    <row r="14" spans="2:6" x14ac:dyDescent="0.35">
      <c r="B14" s="19"/>
      <c r="C14" s="7"/>
      <c r="D14" s="19"/>
      <c r="E14" s="19"/>
      <c r="F14" s="7"/>
    </row>
    <row r="15" spans="2:6" x14ac:dyDescent="0.35">
      <c r="B15" s="20"/>
      <c r="C15" s="7"/>
      <c r="D15" s="19"/>
      <c r="E15" s="19"/>
      <c r="F15" s="7"/>
    </row>
    <row r="16" spans="2:6" x14ac:dyDescent="0.35">
      <c r="B16" s="7"/>
      <c r="C16" s="7"/>
      <c r="D16" s="7"/>
      <c r="E16" s="7"/>
      <c r="F16" s="7"/>
    </row>
    <row r="17" spans="2:9" ht="15" thickBot="1" x14ac:dyDescent="0.4"/>
    <row r="18" spans="2:9" ht="15" thickBot="1" x14ac:dyDescent="0.4">
      <c r="B18" s="5" t="s">
        <v>22</v>
      </c>
      <c r="E18" s="5" t="s">
        <v>22</v>
      </c>
      <c r="F18" s="12"/>
      <c r="H18" s="5" t="s">
        <v>22</v>
      </c>
      <c r="I18" s="12"/>
    </row>
    <row r="19" spans="2:9" ht="15.5" thickTop="1" thickBot="1" x14ac:dyDescent="0.4">
      <c r="B19" s="4" t="s">
        <v>2</v>
      </c>
      <c r="C19" s="8"/>
      <c r="E19" s="4" t="s">
        <v>2</v>
      </c>
      <c r="F19" s="8"/>
      <c r="H19" s="4" t="s">
        <v>2</v>
      </c>
      <c r="I19" s="8"/>
    </row>
    <row r="20" spans="2:9" ht="15" thickTop="1" x14ac:dyDescent="0.35"/>
  </sheetData>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D22"/>
  <sheetViews>
    <sheetView zoomScale="145" zoomScaleNormal="145" workbookViewId="0">
      <selection activeCell="C2" sqref="C2"/>
    </sheetView>
  </sheetViews>
  <sheetFormatPr defaultColWidth="9.1796875" defaultRowHeight="14.5" x14ac:dyDescent="0.35"/>
  <sheetData>
    <row r="2" spans="2:4" ht="21.5" thickBot="1" x14ac:dyDescent="0.55000000000000004">
      <c r="B2" s="6" t="s">
        <v>24</v>
      </c>
      <c r="C2" t="s">
        <v>26</v>
      </c>
    </row>
    <row r="3" spans="2:4" ht="15" thickBot="1" x14ac:dyDescent="0.4">
      <c r="B3" s="16" t="s">
        <v>25</v>
      </c>
    </row>
    <row r="6" spans="2:4" x14ac:dyDescent="0.35">
      <c r="B6" s="4" t="s">
        <v>1</v>
      </c>
    </row>
    <row r="7" spans="2:4" x14ac:dyDescent="0.35">
      <c r="B7" s="12">
        <v>5</v>
      </c>
    </row>
    <row r="8" spans="2:4" x14ac:dyDescent="0.35">
      <c r="B8" s="12" t="s">
        <v>23</v>
      </c>
    </row>
    <row r="11" spans="2:4" ht="15" thickBot="1" x14ac:dyDescent="0.4"/>
    <row r="12" spans="2:4" ht="15" thickBot="1" x14ac:dyDescent="0.4">
      <c r="B12" s="5" t="s">
        <v>28</v>
      </c>
      <c r="C12" s="12"/>
      <c r="D12" s="12"/>
    </row>
    <row r="13" spans="2:4" ht="15.5" thickTop="1" thickBot="1" x14ac:dyDescent="0.4">
      <c r="B13" s="4" t="s">
        <v>2</v>
      </c>
      <c r="C13" s="8"/>
      <c r="D13" s="12"/>
    </row>
    <row r="14" spans="2:4" ht="15" thickTop="1" x14ac:dyDescent="0.35"/>
    <row r="15" spans="2:4" ht="15" thickBot="1" x14ac:dyDescent="0.4"/>
    <row r="16" spans="2:4" ht="15" thickBot="1" x14ac:dyDescent="0.4">
      <c r="B16" s="5" t="s">
        <v>27</v>
      </c>
      <c r="C16" s="12"/>
    </row>
    <row r="17" spans="2:3" ht="15.5" thickTop="1" thickBot="1" x14ac:dyDescent="0.4">
      <c r="B17" s="4" t="s">
        <v>2</v>
      </c>
      <c r="C17" s="8"/>
    </row>
    <row r="18" spans="2:3" ht="15" thickTop="1" x14ac:dyDescent="0.35"/>
    <row r="19" spans="2:3" ht="15" thickBot="1" x14ac:dyDescent="0.4"/>
    <row r="20" spans="2:3" ht="15" thickBot="1" x14ac:dyDescent="0.4">
      <c r="B20" s="5" t="s">
        <v>29</v>
      </c>
      <c r="C20" s="12"/>
    </row>
    <row r="21" spans="2:3" ht="15.5" thickTop="1" thickBot="1" x14ac:dyDescent="0.4">
      <c r="B21" s="4" t="s">
        <v>2</v>
      </c>
      <c r="C21" s="8"/>
    </row>
    <row r="22" spans="2:3" ht="15" thickTop="1" x14ac:dyDescent="0.35"/>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C22"/>
  <sheetViews>
    <sheetView zoomScale="145" zoomScaleNormal="145" workbookViewId="0">
      <selection activeCell="D23" sqref="D23"/>
    </sheetView>
  </sheetViews>
  <sheetFormatPr defaultColWidth="9" defaultRowHeight="14.5" x14ac:dyDescent="0.35"/>
  <cols>
    <col min="1" max="16384" width="9" style="12"/>
  </cols>
  <sheetData>
    <row r="2" spans="2:3" ht="21.5" thickBot="1" x14ac:dyDescent="0.55000000000000004">
      <c r="B2" s="6" t="s">
        <v>24</v>
      </c>
      <c r="C2" s="12" t="s">
        <v>26</v>
      </c>
    </row>
    <row r="3" spans="2:3" ht="15" thickBot="1" x14ac:dyDescent="0.4">
      <c r="B3" s="16" t="s">
        <v>25</v>
      </c>
    </row>
    <row r="6" spans="2:3" x14ac:dyDescent="0.35">
      <c r="B6" s="4" t="s">
        <v>1</v>
      </c>
    </row>
    <row r="7" spans="2:3" x14ac:dyDescent="0.35">
      <c r="B7" s="12">
        <v>5</v>
      </c>
    </row>
    <row r="8" spans="2:3" x14ac:dyDescent="0.35">
      <c r="B8" s="12" t="s">
        <v>23</v>
      </c>
    </row>
    <row r="11" spans="2:3" ht="15" thickBot="1" x14ac:dyDescent="0.4"/>
    <row r="12" spans="2:3" ht="15" thickBot="1" x14ac:dyDescent="0.4">
      <c r="B12" s="5" t="s">
        <v>28</v>
      </c>
    </row>
    <row r="13" spans="2:3" ht="15.5" thickTop="1" thickBot="1" x14ac:dyDescent="0.4">
      <c r="B13" s="4" t="s">
        <v>2</v>
      </c>
      <c r="C13" s="8" t="b">
        <f>AND(B7&gt;3,B7&lt;10)</f>
        <v>1</v>
      </c>
    </row>
    <row r="14" spans="2:3" ht="15" thickTop="1" x14ac:dyDescent="0.35"/>
    <row r="15" spans="2:3" ht="15" thickBot="1" x14ac:dyDescent="0.4"/>
    <row r="16" spans="2:3" ht="15" thickBot="1" x14ac:dyDescent="0.4">
      <c r="B16" s="5" t="s">
        <v>27</v>
      </c>
    </row>
    <row r="17" spans="2:3" ht="15.5" thickTop="1" thickBot="1" x14ac:dyDescent="0.4">
      <c r="B17" s="4" t="s">
        <v>2</v>
      </c>
      <c r="C17" s="8" t="b">
        <f>AND(B7&gt;3,B8="EADA")</f>
        <v>1</v>
      </c>
    </row>
    <row r="18" spans="2:3" ht="15" thickTop="1" x14ac:dyDescent="0.35"/>
    <row r="19" spans="2:3" ht="15" thickBot="1" x14ac:dyDescent="0.4"/>
    <row r="20" spans="2:3" ht="15" thickBot="1" x14ac:dyDescent="0.4">
      <c r="B20" s="5" t="s">
        <v>29</v>
      </c>
    </row>
    <row r="21" spans="2:3" ht="15.5" thickTop="1" thickBot="1" x14ac:dyDescent="0.4">
      <c r="B21" s="4" t="s">
        <v>2</v>
      </c>
      <c r="C21" s="8" t="b">
        <f>AND(B7&gt;3,B8="IESE")</f>
        <v>0</v>
      </c>
    </row>
    <row r="22" spans="2:3" ht="15" thickTop="1" x14ac:dyDescent="0.35"/>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C22"/>
  <sheetViews>
    <sheetView zoomScale="145" zoomScaleNormal="145" workbookViewId="0">
      <selection activeCell="C2" sqref="C2"/>
    </sheetView>
  </sheetViews>
  <sheetFormatPr defaultColWidth="9" defaultRowHeight="14.5" x14ac:dyDescent="0.35"/>
  <cols>
    <col min="1" max="16384" width="9" style="12"/>
  </cols>
  <sheetData>
    <row r="2" spans="2:3" ht="21.5" thickBot="1" x14ac:dyDescent="0.55000000000000004">
      <c r="B2" s="6" t="s">
        <v>30</v>
      </c>
      <c r="C2" s="12" t="s">
        <v>31</v>
      </c>
    </row>
    <row r="3" spans="2:3" ht="15" thickBot="1" x14ac:dyDescent="0.4">
      <c r="B3" s="16" t="s">
        <v>32</v>
      </c>
    </row>
    <row r="6" spans="2:3" x14ac:dyDescent="0.35">
      <c r="B6" s="4" t="s">
        <v>1</v>
      </c>
    </row>
    <row r="7" spans="2:3" x14ac:dyDescent="0.35">
      <c r="B7" s="12">
        <v>5</v>
      </c>
    </row>
    <row r="8" spans="2:3" x14ac:dyDescent="0.35">
      <c r="B8" s="12" t="s">
        <v>23</v>
      </c>
    </row>
    <row r="11" spans="2:3" ht="15" thickBot="1" x14ac:dyDescent="0.4"/>
    <row r="12" spans="2:3" ht="15" thickBot="1" x14ac:dyDescent="0.4">
      <c r="B12" s="5" t="s">
        <v>33</v>
      </c>
    </row>
    <row r="13" spans="2:3" ht="15.5" thickTop="1" thickBot="1" x14ac:dyDescent="0.4">
      <c r="B13" s="4" t="s">
        <v>2</v>
      </c>
      <c r="C13" s="8"/>
    </row>
    <row r="14" spans="2:3" ht="15" thickTop="1" x14ac:dyDescent="0.35"/>
    <row r="15" spans="2:3" ht="15" thickBot="1" x14ac:dyDescent="0.4"/>
    <row r="16" spans="2:3" ht="15" thickBot="1" x14ac:dyDescent="0.4">
      <c r="B16" s="5" t="s">
        <v>34</v>
      </c>
    </row>
    <row r="17" spans="2:3" ht="15.5" thickTop="1" thickBot="1" x14ac:dyDescent="0.4">
      <c r="B17" s="4" t="s">
        <v>2</v>
      </c>
      <c r="C17" s="8"/>
    </row>
    <row r="18" spans="2:3" ht="15" thickTop="1" x14ac:dyDescent="0.35"/>
    <row r="19" spans="2:3" ht="15" thickBot="1" x14ac:dyDescent="0.4"/>
    <row r="20" spans="2:3" ht="15" thickBot="1" x14ac:dyDescent="0.4">
      <c r="B20" s="5" t="s">
        <v>35</v>
      </c>
    </row>
    <row r="21" spans="2:3" ht="15.5" thickTop="1" thickBot="1" x14ac:dyDescent="0.4">
      <c r="B21" s="4" t="s">
        <v>2</v>
      </c>
      <c r="C21" s="8"/>
    </row>
    <row r="22" spans="2:3" ht="15" thickTop="1" x14ac:dyDescent="0.35"/>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C22"/>
  <sheetViews>
    <sheetView zoomScale="145" zoomScaleNormal="145" workbookViewId="0">
      <selection activeCell="C17" sqref="C17"/>
    </sheetView>
  </sheetViews>
  <sheetFormatPr defaultColWidth="9" defaultRowHeight="14.5" x14ac:dyDescent="0.35"/>
  <cols>
    <col min="1" max="16384" width="9" style="12"/>
  </cols>
  <sheetData>
    <row r="2" spans="2:3" ht="21.5" thickBot="1" x14ac:dyDescent="0.55000000000000004">
      <c r="B2" s="6" t="s">
        <v>30</v>
      </c>
      <c r="C2" s="12" t="s">
        <v>31</v>
      </c>
    </row>
    <row r="3" spans="2:3" ht="15" thickBot="1" x14ac:dyDescent="0.4">
      <c r="B3" s="16" t="s">
        <v>32</v>
      </c>
    </row>
    <row r="6" spans="2:3" x14ac:dyDescent="0.35">
      <c r="B6" s="4" t="s">
        <v>1</v>
      </c>
    </row>
    <row r="7" spans="2:3" x14ac:dyDescent="0.35">
      <c r="B7" s="12">
        <v>5</v>
      </c>
    </row>
    <row r="8" spans="2:3" x14ac:dyDescent="0.35">
      <c r="B8" s="12" t="s">
        <v>23</v>
      </c>
    </row>
    <row r="11" spans="2:3" ht="15" thickBot="1" x14ac:dyDescent="0.4"/>
    <row r="12" spans="2:3" ht="15" thickBot="1" x14ac:dyDescent="0.4">
      <c r="B12" s="5" t="s">
        <v>33</v>
      </c>
    </row>
    <row r="13" spans="2:3" ht="15.5" thickTop="1" thickBot="1" x14ac:dyDescent="0.4">
      <c r="B13" s="4" t="s">
        <v>2</v>
      </c>
      <c r="C13" s="8" t="b">
        <f>OR(B7&gt;3,B7&lt;10)</f>
        <v>1</v>
      </c>
    </row>
    <row r="14" spans="2:3" ht="15" thickTop="1" x14ac:dyDescent="0.35"/>
    <row r="15" spans="2:3" ht="15" thickBot="1" x14ac:dyDescent="0.4"/>
    <row r="16" spans="2:3" ht="15" thickBot="1" x14ac:dyDescent="0.4">
      <c r="B16" s="5" t="s">
        <v>34</v>
      </c>
    </row>
    <row r="17" spans="2:3" ht="15.5" thickTop="1" thickBot="1" x14ac:dyDescent="0.4">
      <c r="B17" s="4" t="s">
        <v>2</v>
      </c>
      <c r="C17" s="8" t="b">
        <f>OR(B7&gt;10,B8="EADA")</f>
        <v>1</v>
      </c>
    </row>
    <row r="18" spans="2:3" ht="15" thickTop="1" x14ac:dyDescent="0.35"/>
    <row r="19" spans="2:3" ht="15" thickBot="1" x14ac:dyDescent="0.4"/>
    <row r="20" spans="2:3" ht="15" thickBot="1" x14ac:dyDescent="0.4">
      <c r="B20" s="5" t="s">
        <v>35</v>
      </c>
    </row>
    <row r="21" spans="2:3" ht="15.5" thickTop="1" thickBot="1" x14ac:dyDescent="0.4">
      <c r="B21" s="4" t="s">
        <v>2</v>
      </c>
      <c r="C21" s="8" t="b">
        <f>OR(B7&gt;10,B8="IESE")</f>
        <v>0</v>
      </c>
    </row>
    <row r="22" spans="2:3" ht="15" thickTop="1" x14ac:dyDescent="0.35"/>
  </sheetData>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2:D28"/>
  <sheetViews>
    <sheetView topLeftCell="A6" zoomScale="130" zoomScaleNormal="130" workbookViewId="0">
      <selection activeCell="I20" sqref="I20"/>
    </sheetView>
  </sheetViews>
  <sheetFormatPr defaultColWidth="9.1796875" defaultRowHeight="14.5" x14ac:dyDescent="0.35"/>
  <sheetData>
    <row r="2" spans="2:3" ht="21" x14ac:dyDescent="0.5">
      <c r="B2" s="6" t="s">
        <v>6</v>
      </c>
    </row>
    <row r="5" spans="2:3" x14ac:dyDescent="0.35">
      <c r="B5" s="4" t="s">
        <v>36</v>
      </c>
    </row>
    <row r="6" spans="2:3" x14ac:dyDescent="0.35">
      <c r="B6">
        <v>3</v>
      </c>
    </row>
    <row r="10" spans="2:3" ht="15" thickBot="1" x14ac:dyDescent="0.4"/>
    <row r="11" spans="2:3" ht="15" thickBot="1" x14ac:dyDescent="0.4">
      <c r="B11" s="5" t="s">
        <v>55</v>
      </c>
    </row>
    <row r="12" spans="2:3" ht="15.5" thickTop="1" thickBot="1" x14ac:dyDescent="0.4">
      <c r="B12" s="4" t="s">
        <v>2</v>
      </c>
      <c r="C12" s="8"/>
    </row>
    <row r="13" spans="2:3" s="12" customFormat="1" ht="15" thickTop="1" x14ac:dyDescent="0.35">
      <c r="C13" s="22"/>
    </row>
    <row r="14" spans="2:3" s="12" customFormat="1" x14ac:dyDescent="0.35">
      <c r="C14" s="22"/>
    </row>
    <row r="15" spans="2:3" s="12" customFormat="1" x14ac:dyDescent="0.35">
      <c r="C15" s="22"/>
    </row>
    <row r="16" spans="2:3" s="12" customFormat="1" x14ac:dyDescent="0.35">
      <c r="C16" s="22"/>
    </row>
    <row r="17" spans="2:4" s="12" customFormat="1" x14ac:dyDescent="0.35">
      <c r="C17" s="22"/>
    </row>
    <row r="18" spans="2:4" s="12" customFormat="1" x14ac:dyDescent="0.35">
      <c r="C18" s="22"/>
    </row>
    <row r="19" spans="2:4" s="12" customFormat="1" x14ac:dyDescent="0.35">
      <c r="C19" s="22"/>
    </row>
    <row r="20" spans="2:4" s="12" customFormat="1" x14ac:dyDescent="0.35">
      <c r="C20" s="22"/>
    </row>
    <row r="21" spans="2:4" s="12" customFormat="1" x14ac:dyDescent="0.35">
      <c r="C21" s="22"/>
    </row>
    <row r="22" spans="2:4" s="12" customFormat="1" x14ac:dyDescent="0.35">
      <c r="C22" s="22"/>
    </row>
    <row r="25" spans="2:4" ht="15" thickBot="1" x14ac:dyDescent="0.4"/>
    <row r="26" spans="2:4" ht="15" thickBot="1" x14ac:dyDescent="0.4">
      <c r="B26" s="5" t="s">
        <v>38</v>
      </c>
      <c r="C26" s="12"/>
      <c r="D26" s="12"/>
    </row>
    <row r="27" spans="2:4" ht="15.5" thickTop="1" thickBot="1" x14ac:dyDescent="0.4">
      <c r="B27" s="4" t="s">
        <v>2</v>
      </c>
      <c r="C27" s="8"/>
      <c r="D27" s="12"/>
    </row>
    <row r="28" spans="2:4" ht="15" thickTop="1" x14ac:dyDescent="0.35"/>
  </sheetData>
  <pageMargins left="0.7" right="0.7" top="0.75" bottom="0.75" header="0.3" footer="0.3"/>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2:C18"/>
  <sheetViews>
    <sheetView zoomScale="115" zoomScaleNormal="115" workbookViewId="0">
      <selection activeCell="B7" sqref="B7"/>
    </sheetView>
  </sheetViews>
  <sheetFormatPr defaultColWidth="9" defaultRowHeight="14.5" x14ac:dyDescent="0.35"/>
  <cols>
    <col min="1" max="2" width="9" style="12"/>
    <col min="3" max="3" width="14.453125" style="12" customWidth="1"/>
    <col min="4" max="16384" width="9" style="12"/>
  </cols>
  <sheetData>
    <row r="2" spans="2:3" ht="21" x14ac:dyDescent="0.5">
      <c r="B2" s="6" t="s">
        <v>6</v>
      </c>
    </row>
    <row r="5" spans="2:3" x14ac:dyDescent="0.35">
      <c r="B5" s="4" t="s">
        <v>36</v>
      </c>
    </row>
    <row r="6" spans="2:3" x14ac:dyDescent="0.35">
      <c r="B6" s="12">
        <v>6</v>
      </c>
    </row>
    <row r="10" spans="2:3" ht="15" thickBot="1" x14ac:dyDescent="0.4"/>
    <row r="11" spans="2:3" ht="15" thickBot="1" x14ac:dyDescent="0.4">
      <c r="B11" s="5" t="s">
        <v>37</v>
      </c>
    </row>
    <row r="12" spans="2:3" ht="15.5" thickTop="1" thickBot="1" x14ac:dyDescent="0.4">
      <c r="B12" s="4" t="s">
        <v>2</v>
      </c>
      <c r="C12" s="8" t="str">
        <f>IF(AND(B6&gt;=0,B6&lt;5),"FAIL","PASS")</f>
        <v>PASS</v>
      </c>
    </row>
    <row r="13" spans="2:3" ht="15" thickTop="1" x14ac:dyDescent="0.35"/>
    <row r="15" spans="2:3" ht="15" thickBot="1" x14ac:dyDescent="0.4"/>
    <row r="16" spans="2:3" ht="15" thickBot="1" x14ac:dyDescent="0.4">
      <c r="B16" s="5" t="s">
        <v>38</v>
      </c>
    </row>
    <row r="17" spans="2:3" ht="15.5" thickTop="1" thickBot="1" x14ac:dyDescent="0.4">
      <c r="B17" s="4" t="s">
        <v>2</v>
      </c>
      <c r="C17" s="8" t="str">
        <f>IF(AND(B6&gt;=0,B6&lt;5),"INSUFICIENTE",IF(AND(B6&gt;=5,B6&lt;6),"SUFICIENTE",IF(AND(B6&gt;=6,B6&lt;7),"BIEN",IF(AND(B6&gt;=7,B6&lt;9),"NOTABLE",IF(AND(B6&gt;=9,B6&lt;=10),"SOBRESALIENTE","Grades must be between 0 and 10")))))</f>
        <v>BIEN</v>
      </c>
    </row>
    <row r="18" spans="2:3" ht="15" thickTop="1" x14ac:dyDescent="0.35"/>
  </sheetData>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2:K26"/>
  <sheetViews>
    <sheetView zoomScale="190" zoomScaleNormal="190" workbookViewId="0">
      <selection activeCell="F9" sqref="F9"/>
    </sheetView>
  </sheetViews>
  <sheetFormatPr defaultColWidth="9" defaultRowHeight="14.5" x14ac:dyDescent="0.35"/>
  <cols>
    <col min="1" max="1" width="9" style="12"/>
    <col min="2" max="2" width="13.1796875" style="12" customWidth="1"/>
    <col min="3" max="3" width="16" style="12" customWidth="1"/>
    <col min="4" max="5" width="17.453125" style="12" customWidth="1"/>
    <col min="6" max="16384" width="9" style="12"/>
  </cols>
  <sheetData>
    <row r="2" spans="2:11" ht="56.25" customHeight="1" thickBot="1" x14ac:dyDescent="0.4">
      <c r="B2" s="21" t="s">
        <v>8</v>
      </c>
      <c r="C2" s="25" t="s">
        <v>43</v>
      </c>
      <c r="D2" s="25"/>
      <c r="E2" s="25"/>
      <c r="F2" s="25"/>
      <c r="G2" s="25"/>
      <c r="H2" s="25"/>
      <c r="I2" s="25"/>
      <c r="J2" s="25"/>
      <c r="K2" s="25"/>
    </row>
    <row r="3" spans="2:11" ht="15" thickBot="1" x14ac:dyDescent="0.4">
      <c r="B3" s="16" t="s">
        <v>39</v>
      </c>
    </row>
    <row r="6" spans="2:11" x14ac:dyDescent="0.35">
      <c r="B6" s="4" t="s">
        <v>10</v>
      </c>
      <c r="C6" s="4" t="s">
        <v>11</v>
      </c>
      <c r="D6" s="4" t="s">
        <v>40</v>
      </c>
      <c r="F6" s="17"/>
    </row>
    <row r="7" spans="2:11" x14ac:dyDescent="0.35">
      <c r="B7" s="13" t="s">
        <v>12</v>
      </c>
      <c r="C7" s="13" t="s">
        <v>13</v>
      </c>
      <c r="D7" s="13" t="s">
        <v>13</v>
      </c>
    </row>
    <row r="8" spans="2:11" x14ac:dyDescent="0.35">
      <c r="B8" s="13" t="s">
        <v>14</v>
      </c>
      <c r="C8" s="13" t="s">
        <v>15</v>
      </c>
      <c r="D8" s="13" t="s">
        <v>15</v>
      </c>
    </row>
    <row r="9" spans="2:11" x14ac:dyDescent="0.35">
      <c r="B9" s="13" t="s">
        <v>16</v>
      </c>
      <c r="C9" s="13" t="s">
        <v>17</v>
      </c>
      <c r="D9" s="13" t="s">
        <v>17</v>
      </c>
      <c r="F9" s="12" t="e" cm="1">
        <f t="array" ref="F9">ifs</f>
        <v>#NAME?</v>
      </c>
    </row>
    <row r="10" spans="2:11" x14ac:dyDescent="0.35">
      <c r="B10" s="15" t="s">
        <v>18</v>
      </c>
      <c r="C10" s="13" t="e">
        <v>#N/A</v>
      </c>
      <c r="D10" s="13" t="s">
        <v>19</v>
      </c>
    </row>
    <row r="13" spans="2:11" ht="15" thickBot="1" x14ac:dyDescent="0.4"/>
    <row r="14" spans="2:11" ht="15.5" thickTop="1" thickBot="1" x14ac:dyDescent="0.4">
      <c r="B14" s="4" t="s">
        <v>10</v>
      </c>
      <c r="C14" s="8" t="s">
        <v>14</v>
      </c>
    </row>
    <row r="15" spans="2:11" ht="15.5" thickTop="1" thickBot="1" x14ac:dyDescent="0.4">
      <c r="B15" s="4" t="s">
        <v>41</v>
      </c>
      <c r="C15" s="8"/>
    </row>
    <row r="16" spans="2:11" ht="15.5" thickTop="1" thickBot="1" x14ac:dyDescent="0.4">
      <c r="B16" s="4" t="s">
        <v>42</v>
      </c>
      <c r="C16" s="8"/>
    </row>
    <row r="17" spans="2:3" ht="15" thickTop="1" x14ac:dyDescent="0.35">
      <c r="B17" s="17"/>
      <c r="C17" s="22"/>
    </row>
    <row r="18" spans="2:3" x14ac:dyDescent="0.35">
      <c r="B18" s="17"/>
      <c r="C18" s="22"/>
    </row>
    <row r="19" spans="2:3" x14ac:dyDescent="0.35">
      <c r="B19" s="17"/>
      <c r="C19" s="22"/>
    </row>
    <row r="20" spans="2:3" x14ac:dyDescent="0.35">
      <c r="B20" s="17"/>
      <c r="C20" s="22"/>
    </row>
    <row r="21" spans="2:3" x14ac:dyDescent="0.35">
      <c r="B21" s="4" t="s">
        <v>36</v>
      </c>
      <c r="C21" s="22"/>
    </row>
    <row r="22" spans="2:3" x14ac:dyDescent="0.35">
      <c r="B22" s="12">
        <v>11</v>
      </c>
      <c r="C22" s="22"/>
    </row>
    <row r="23" spans="2:3" ht="15" thickBot="1" x14ac:dyDescent="0.4"/>
    <row r="24" spans="2:3" ht="15" thickBot="1" x14ac:dyDescent="0.4">
      <c r="B24" s="5" t="s">
        <v>44</v>
      </c>
    </row>
    <row r="25" spans="2:3" ht="15.5" thickTop="1" thickBot="1" x14ac:dyDescent="0.4">
      <c r="B25" s="4" t="s">
        <v>42</v>
      </c>
      <c r="C25" s="8"/>
    </row>
    <row r="26" spans="2:3" ht="15" thickTop="1" x14ac:dyDescent="0.35"/>
  </sheetData>
  <mergeCells count="1">
    <mergeCell ref="C2:K2"/>
  </mergeCells>
  <dataValidations disablePrompts="1" count="1">
    <dataValidation type="list" allowBlank="1" showInputMessage="1" showErrorMessage="1" sqref="C14" xr:uid="{00000000-0002-0000-0800-000000000000}">
      <formula1>$B$7:$B$10</formula1>
    </dataValidation>
  </dataValidation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B2:K26"/>
  <sheetViews>
    <sheetView topLeftCell="A4" zoomScale="190" zoomScaleNormal="190" workbookViewId="0">
      <selection activeCell="B23" sqref="B23"/>
    </sheetView>
  </sheetViews>
  <sheetFormatPr defaultColWidth="9.1796875" defaultRowHeight="14.5" x14ac:dyDescent="0.35"/>
  <cols>
    <col min="2" max="2" width="13.1796875" customWidth="1"/>
    <col min="3" max="3" width="16" customWidth="1"/>
    <col min="4" max="5" width="17.453125" bestFit="1" customWidth="1"/>
  </cols>
  <sheetData>
    <row r="2" spans="2:11" s="12" customFormat="1" ht="56.25" customHeight="1" thickBot="1" x14ac:dyDescent="0.4">
      <c r="B2" s="21" t="s">
        <v>8</v>
      </c>
      <c r="C2" s="25" t="s">
        <v>43</v>
      </c>
      <c r="D2" s="25"/>
      <c r="E2" s="25"/>
      <c r="F2" s="25"/>
      <c r="G2" s="25"/>
      <c r="H2" s="25"/>
      <c r="I2" s="25"/>
      <c r="J2" s="25"/>
      <c r="K2" s="25"/>
    </row>
    <row r="3" spans="2:11" s="12" customFormat="1" ht="15" thickBot="1" x14ac:dyDescent="0.4">
      <c r="B3" s="16" t="s">
        <v>39</v>
      </c>
    </row>
    <row r="4" spans="2:11" s="12" customFormat="1" x14ac:dyDescent="0.35"/>
    <row r="6" spans="2:11" x14ac:dyDescent="0.35">
      <c r="B6" s="4" t="s">
        <v>10</v>
      </c>
      <c r="C6" s="4" t="s">
        <v>11</v>
      </c>
      <c r="D6" s="4" t="s">
        <v>40</v>
      </c>
      <c r="F6" s="17"/>
    </row>
    <row r="7" spans="2:11" x14ac:dyDescent="0.35">
      <c r="B7" s="13" t="s">
        <v>12</v>
      </c>
      <c r="C7" s="13" t="s">
        <v>13</v>
      </c>
      <c r="D7" s="13" t="s">
        <v>13</v>
      </c>
      <c r="F7" s="12"/>
    </row>
    <row r="8" spans="2:11" x14ac:dyDescent="0.35">
      <c r="B8" s="13" t="s">
        <v>14</v>
      </c>
      <c r="C8" s="13" t="s">
        <v>15</v>
      </c>
      <c r="D8" s="13" t="s">
        <v>15</v>
      </c>
      <c r="F8" s="12"/>
    </row>
    <row r="9" spans="2:11" x14ac:dyDescent="0.35">
      <c r="B9" s="13" t="s">
        <v>16</v>
      </c>
      <c r="C9" s="13" t="s">
        <v>17</v>
      </c>
      <c r="D9" s="13" t="s">
        <v>17</v>
      </c>
      <c r="F9" s="12"/>
    </row>
    <row r="10" spans="2:11" x14ac:dyDescent="0.35">
      <c r="B10" s="15" t="s">
        <v>18</v>
      </c>
      <c r="C10" s="13" t="e">
        <v>#N/A</v>
      </c>
      <c r="D10" s="13" t="s">
        <v>19</v>
      </c>
      <c r="F10" s="12"/>
    </row>
    <row r="11" spans="2:11" x14ac:dyDescent="0.35">
      <c r="C11" s="12"/>
      <c r="D11" s="12"/>
      <c r="E11" s="12"/>
      <c r="F11" s="12"/>
    </row>
    <row r="13" spans="2:11" ht="15" thickBot="1" x14ac:dyDescent="0.4">
      <c r="C13" s="12"/>
    </row>
    <row r="14" spans="2:11" ht="15.5" thickTop="1" thickBot="1" x14ac:dyDescent="0.4">
      <c r="B14" s="4" t="s">
        <v>10</v>
      </c>
      <c r="C14" s="8" t="s">
        <v>18</v>
      </c>
    </row>
    <row r="15" spans="2:11" ht="15.5" thickTop="1" thickBot="1" x14ac:dyDescent="0.4">
      <c r="B15" s="4" t="s">
        <v>41</v>
      </c>
      <c r="C15" s="8" t="e">
        <f>_xlfn.IFS($C$14="Apple","Fruit",$C$14="Potato","Veg",$C$14="Steak","Meat")</f>
        <v>#N/A</v>
      </c>
    </row>
    <row r="16" spans="2:11" ht="15.5" thickTop="1" thickBot="1" x14ac:dyDescent="0.4">
      <c r="B16" s="4" t="s">
        <v>42</v>
      </c>
      <c r="C16" s="8" t="str">
        <f>_xlfn.IFS($C$14="Apple","Fruit",$C$14="Potato","Veg",$C$14="Steak","Meat",TRUE,"Misc")</f>
        <v>Misc</v>
      </c>
    </row>
    <row r="17" spans="2:3" s="12" customFormat="1" ht="15" thickTop="1" x14ac:dyDescent="0.35">
      <c r="B17" s="17"/>
      <c r="C17" s="22"/>
    </row>
    <row r="18" spans="2:3" s="12" customFormat="1" x14ac:dyDescent="0.35">
      <c r="B18" s="17"/>
      <c r="C18" s="22"/>
    </row>
    <row r="19" spans="2:3" s="12" customFormat="1" x14ac:dyDescent="0.35">
      <c r="B19" s="17"/>
      <c r="C19" s="22"/>
    </row>
    <row r="20" spans="2:3" s="12" customFormat="1" x14ac:dyDescent="0.35">
      <c r="B20" s="17"/>
      <c r="C20" s="22"/>
    </row>
    <row r="21" spans="2:3" s="12" customFormat="1" x14ac:dyDescent="0.35">
      <c r="B21" s="4" t="s">
        <v>36</v>
      </c>
      <c r="C21" s="22"/>
    </row>
    <row r="22" spans="2:3" s="12" customFormat="1" x14ac:dyDescent="0.35">
      <c r="B22" s="12">
        <v>7</v>
      </c>
      <c r="C22" s="22"/>
    </row>
    <row r="23" spans="2:3" ht="15" thickBot="1" x14ac:dyDescent="0.4"/>
    <row r="24" spans="2:3" ht="15" thickBot="1" x14ac:dyDescent="0.4">
      <c r="B24" s="5" t="s">
        <v>44</v>
      </c>
    </row>
    <row r="25" spans="2:3" ht="15.5" thickTop="1" thickBot="1" x14ac:dyDescent="0.4">
      <c r="B25" s="4" t="s">
        <v>42</v>
      </c>
      <c r="C25" s="8" t="str">
        <f>_xlfn.IFS(AND(B22&gt;=0,B22&lt;5),"INSUFICIENTE",AND(B22&gt;=5,B22&lt;6),"SUFICIENTE",AND(B22&gt;=6,B22&lt;7),"BIEN",AND(B22&gt;=7,B22&lt;9),"NOTABLE",AND(B22&gt;=9,B22&lt;=10),"SOBRESALIENTE",TRUE,"Grades must be between 0 and 10")</f>
        <v>NOTABLE</v>
      </c>
    </row>
    <row r="26" spans="2:3" ht="15" thickTop="1" x14ac:dyDescent="0.35"/>
  </sheetData>
  <mergeCells count="1">
    <mergeCell ref="C2:K2"/>
  </mergeCells>
  <dataValidations count="1">
    <dataValidation type="list" allowBlank="1" showInputMessage="1" showErrorMessage="1" sqref="C14" xr:uid="{00000000-0002-0000-0900-000000000000}">
      <formula1>$B$7:$B$10</formula1>
    </dataValidation>
  </dataValidation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E20"/>
  <sheetViews>
    <sheetView zoomScale="145" zoomScaleNormal="145" workbookViewId="0">
      <selection activeCell="D17" sqref="D17"/>
    </sheetView>
  </sheetViews>
  <sheetFormatPr defaultColWidth="9" defaultRowHeight="14.5" x14ac:dyDescent="0.35"/>
  <cols>
    <col min="1" max="1" width="3.26953125" style="12" customWidth="1"/>
    <col min="2" max="2" width="12.54296875" style="12" customWidth="1"/>
    <col min="3" max="3" width="9" style="12"/>
    <col min="4" max="4" width="9" style="1"/>
    <col min="5" max="5" width="64.81640625" style="10" customWidth="1"/>
    <col min="6" max="16384" width="9" style="12"/>
  </cols>
  <sheetData>
    <row r="2" spans="2:5" ht="21.5" thickBot="1" x14ac:dyDescent="0.55000000000000004">
      <c r="B2" s="6" t="s">
        <v>9</v>
      </c>
      <c r="C2" s="12" t="s">
        <v>54</v>
      </c>
    </row>
    <row r="3" spans="2:5" ht="15" thickBot="1" x14ac:dyDescent="0.4">
      <c r="B3" s="16" t="s">
        <v>53</v>
      </c>
    </row>
    <row r="5" spans="2:5" x14ac:dyDescent="0.35">
      <c r="C5" s="24" t="s">
        <v>48</v>
      </c>
      <c r="D5" s="24" t="s">
        <v>49</v>
      </c>
      <c r="E5" s="24" t="s">
        <v>50</v>
      </c>
    </row>
    <row r="6" spans="2:5" x14ac:dyDescent="0.35">
      <c r="C6" s="12" t="s">
        <v>5</v>
      </c>
      <c r="D6" s="1">
        <v>1</v>
      </c>
      <c r="E6" s="10" t="s">
        <v>21</v>
      </c>
    </row>
    <row r="7" spans="2:5" x14ac:dyDescent="0.35">
      <c r="C7" s="12" t="s">
        <v>8</v>
      </c>
      <c r="D7" s="1">
        <v>2</v>
      </c>
      <c r="E7" s="10" t="s">
        <v>47</v>
      </c>
    </row>
    <row r="8" spans="2:5" x14ac:dyDescent="0.35">
      <c r="C8" s="12" t="s">
        <v>24</v>
      </c>
      <c r="D8" s="1">
        <v>3</v>
      </c>
      <c r="E8" s="10" t="s">
        <v>26</v>
      </c>
    </row>
    <row r="9" spans="2:5" x14ac:dyDescent="0.35">
      <c r="C9" s="12" t="s">
        <v>30</v>
      </c>
      <c r="D9" s="1">
        <v>4</v>
      </c>
      <c r="E9" s="10" t="s">
        <v>31</v>
      </c>
    </row>
    <row r="10" spans="2:5" x14ac:dyDescent="0.35">
      <c r="C10" s="12" t="s">
        <v>45</v>
      </c>
      <c r="D10" s="1">
        <v>5</v>
      </c>
      <c r="E10" s="10" t="s">
        <v>3</v>
      </c>
    </row>
    <row r="11" spans="2:5" x14ac:dyDescent="0.35">
      <c r="C11" s="12" t="s">
        <v>46</v>
      </c>
      <c r="D11" s="1">
        <v>6</v>
      </c>
      <c r="E11" s="10" t="s">
        <v>4</v>
      </c>
    </row>
    <row r="14" spans="2:5" ht="15" thickBot="1" x14ac:dyDescent="0.4"/>
    <row r="15" spans="2:5" ht="15" thickBot="1" x14ac:dyDescent="0.4">
      <c r="C15" s="5" t="s">
        <v>51</v>
      </c>
    </row>
    <row r="16" spans="2:5" ht="15.5" thickTop="1" thickBot="1" x14ac:dyDescent="0.4">
      <c r="C16" s="4" t="s">
        <v>48</v>
      </c>
      <c r="D16" s="23" t="s">
        <v>46</v>
      </c>
    </row>
    <row r="17" spans="3:5" ht="15.5" thickTop="1" thickBot="1" x14ac:dyDescent="0.4">
      <c r="C17" s="4" t="s">
        <v>2</v>
      </c>
      <c r="D17" s="23"/>
    </row>
    <row r="18" spans="3:5" ht="15.5" thickTop="1" thickBot="1" x14ac:dyDescent="0.4"/>
    <row r="19" spans="3:5" ht="15" thickBot="1" x14ac:dyDescent="0.4">
      <c r="C19" s="5" t="s">
        <v>52</v>
      </c>
    </row>
    <row r="20" spans="3:5" x14ac:dyDescent="0.35">
      <c r="C20" s="4" t="s">
        <v>2</v>
      </c>
      <c r="D20" s="26"/>
      <c r="E20" s="27"/>
    </row>
  </sheetData>
  <mergeCells count="1">
    <mergeCell ref="D20:E20"/>
  </mergeCells>
  <dataValidations count="1">
    <dataValidation type="list" allowBlank="1" showInputMessage="1" showErrorMessage="1" sqref="D16" xr:uid="{00000000-0002-0000-0A00-000000000000}">
      <formula1>$C$6:$C$11</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E20"/>
  <sheetViews>
    <sheetView topLeftCell="A4" zoomScale="145" zoomScaleNormal="145" workbookViewId="0">
      <selection activeCell="D17" sqref="D17"/>
    </sheetView>
  </sheetViews>
  <sheetFormatPr defaultColWidth="9.1796875" defaultRowHeight="14.5" x14ac:dyDescent="0.35"/>
  <cols>
    <col min="1" max="1" width="2.7265625" customWidth="1"/>
    <col min="4" max="4" width="9" style="1"/>
    <col min="5" max="5" width="64.81640625" style="10" customWidth="1"/>
  </cols>
  <sheetData>
    <row r="2" spans="2:5" s="12" customFormat="1" ht="21.5" thickBot="1" x14ac:dyDescent="0.55000000000000004">
      <c r="B2" s="6" t="s">
        <v>9</v>
      </c>
      <c r="D2" s="1"/>
      <c r="E2" s="10"/>
    </row>
    <row r="3" spans="2:5" s="12" customFormat="1" ht="15" thickBot="1" x14ac:dyDescent="0.4">
      <c r="B3" s="16" t="s">
        <v>53</v>
      </c>
      <c r="D3" s="1"/>
      <c r="E3" s="10"/>
    </row>
    <row r="5" spans="2:5" x14ac:dyDescent="0.35">
      <c r="C5" s="24" t="s">
        <v>48</v>
      </c>
      <c r="D5" s="24" t="s">
        <v>49</v>
      </c>
      <c r="E5" s="24" t="s">
        <v>50</v>
      </c>
    </row>
    <row r="6" spans="2:5" x14ac:dyDescent="0.35">
      <c r="C6" t="s">
        <v>5</v>
      </c>
      <c r="D6" s="1">
        <v>1</v>
      </c>
      <c r="E6" s="10" t="s">
        <v>21</v>
      </c>
    </row>
    <row r="7" spans="2:5" x14ac:dyDescent="0.35">
      <c r="C7" t="s">
        <v>8</v>
      </c>
      <c r="D7" s="1">
        <v>2</v>
      </c>
      <c r="E7" s="10" t="s">
        <v>47</v>
      </c>
    </row>
    <row r="8" spans="2:5" x14ac:dyDescent="0.35">
      <c r="C8" t="s">
        <v>24</v>
      </c>
      <c r="D8" s="1">
        <v>3</v>
      </c>
      <c r="E8" s="10" t="s">
        <v>26</v>
      </c>
    </row>
    <row r="9" spans="2:5" x14ac:dyDescent="0.35">
      <c r="C9" t="s">
        <v>30</v>
      </c>
      <c r="D9" s="1">
        <v>4</v>
      </c>
      <c r="E9" s="10" t="s">
        <v>31</v>
      </c>
    </row>
    <row r="10" spans="2:5" x14ac:dyDescent="0.35">
      <c r="C10" t="s">
        <v>45</v>
      </c>
      <c r="D10" s="1">
        <v>5</v>
      </c>
      <c r="E10" s="10" t="s">
        <v>3</v>
      </c>
    </row>
    <row r="11" spans="2:5" x14ac:dyDescent="0.35">
      <c r="C11" t="s">
        <v>46</v>
      </c>
      <c r="D11" s="1">
        <v>6</v>
      </c>
      <c r="E11" s="10" t="s">
        <v>4</v>
      </c>
    </row>
    <row r="14" spans="2:5" ht="15" thickBot="1" x14ac:dyDescent="0.4"/>
    <row r="15" spans="2:5" ht="15" thickBot="1" x14ac:dyDescent="0.4">
      <c r="C15" s="5" t="s">
        <v>51</v>
      </c>
    </row>
    <row r="16" spans="2:5" ht="15.5" thickTop="1" thickBot="1" x14ac:dyDescent="0.4">
      <c r="C16" s="4" t="s">
        <v>48</v>
      </c>
      <c r="D16" s="23" t="s">
        <v>46</v>
      </c>
    </row>
    <row r="17" spans="3:5" ht="15.5" thickTop="1" thickBot="1" x14ac:dyDescent="0.4">
      <c r="C17" s="4" t="s">
        <v>2</v>
      </c>
      <c r="D17" s="23">
        <f>_xlfn.IFS(D16="IF",1,D16="IFS",2,D16="AND",3,D16="OR",4,D16="COUNT",5,D16="COUNTIF",6)</f>
        <v>6</v>
      </c>
    </row>
    <row r="18" spans="3:5" ht="15.5" thickTop="1" thickBot="1" x14ac:dyDescent="0.4"/>
    <row r="19" spans="3:5" ht="15" thickBot="1" x14ac:dyDescent="0.4">
      <c r="C19" s="5" t="s">
        <v>52</v>
      </c>
    </row>
    <row r="20" spans="3:5" x14ac:dyDescent="0.35">
      <c r="C20" s="4" t="s">
        <v>2</v>
      </c>
      <c r="D20" s="26" t="str">
        <f>CHOOSE(D17,E6,E7,E8,E9,E10,E11)</f>
        <v>Counts the number of cells in a range, that meets a given criteria</v>
      </c>
      <c r="E20" s="27"/>
    </row>
  </sheetData>
  <mergeCells count="1">
    <mergeCell ref="D20:E20"/>
  </mergeCells>
  <dataValidations count="1">
    <dataValidation type="list" allowBlank="1" showInputMessage="1" showErrorMessage="1" sqref="D16" xr:uid="{00000000-0002-0000-0B00-000000000000}">
      <formula1>$C$6:$C$11</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c91d98-7809-481a-a1ac-bd62ec4f59fb">
      <Terms xmlns="http://schemas.microsoft.com/office/infopath/2007/PartnerControls"/>
    </lcf76f155ced4ddcb4097134ff3c332f>
    <TaxCatchAll xmlns="85e6ab8e-cbd2-4a96-93f4-452498ebce46" xsi:nil="true"/>
  </documentManagement>
</p:properties>
</file>

<file path=customXml/itemProps1.xml><?xml version="1.0" encoding="utf-8"?>
<ds:datastoreItem xmlns:ds="http://schemas.openxmlformats.org/officeDocument/2006/customXml" ds:itemID="{103581A1-2040-4B23-AC3C-FE1C76BD9A04}">
  <ds:schemaRefs>
    <ds:schemaRef ds:uri="http://schemas.microsoft.com/sharepoint/v3/contenttype/forms"/>
  </ds:schemaRefs>
</ds:datastoreItem>
</file>

<file path=customXml/itemProps2.xml><?xml version="1.0" encoding="utf-8"?>
<ds:datastoreItem xmlns:ds="http://schemas.openxmlformats.org/officeDocument/2006/customXml" ds:itemID="{175A115B-0156-48F3-8DCE-F4A289928ABF}"/>
</file>

<file path=customXml/itemProps3.xml><?xml version="1.0" encoding="utf-8"?>
<ds:datastoreItem xmlns:ds="http://schemas.openxmlformats.org/officeDocument/2006/customXml" ds:itemID="{3826EE2A-F0C9-4334-AA90-518C4FF340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vt:lpstr>
      <vt:lpstr>IF</vt:lpstr>
      <vt:lpstr>AND_RAW</vt:lpstr>
      <vt:lpstr>AND_SOLVED</vt:lpstr>
      <vt:lpstr>OR_RAW</vt:lpstr>
      <vt:lpstr>OR_SOLVED</vt:lpstr>
      <vt:lpstr>Nested IF_RAW</vt:lpstr>
      <vt:lpstr>Nested IF_SOLVED</vt:lpstr>
      <vt:lpstr>IFS_RAW</vt:lpstr>
      <vt:lpstr>IFS_SOLVED</vt:lpstr>
      <vt:lpstr>CHOOSE_RAW</vt:lpstr>
      <vt:lpstr>CHOOSE_SOLVED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2022-09-27T06:30:21Z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0x01010024073E82C5C590418396DC255F0DC745</vt:lpwstr>
  </property>
</Properties>
</file>