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online.sharepoint.com/sites/2209EADAConsumerApps/Documentos compartidos/General/Materiales/MIC MATERIAL/EXCEL/Session3/"/>
    </mc:Choice>
  </mc:AlternateContent>
  <xr:revisionPtr revIDLastSave="1" documentId="11_7643BF6A0E4A1332AA943D81FD1206FA8226FA33" xr6:coauthVersionLast="47" xr6:coauthVersionMax="47" xr10:uidLastSave="{DFC338D9-3E72-4740-9EB2-3F55079398FD}"/>
  <bookViews>
    <workbookView xWindow="-10485" yWindow="-21600" windowWidth="37095" windowHeight="21000" tabRatio="664" xr2:uid="{00000000-000D-0000-FFFF-FFFF00000000}"/>
  </bookViews>
  <sheets>
    <sheet name="Content" sheetId="9" r:id="rId1"/>
    <sheet name="CONCATENATE_RAW" sheetId="10" r:id="rId2"/>
    <sheet name="CONCATENATE_SOLVED" sheetId="8" r:id="rId3"/>
    <sheet name="E1_RAW" sheetId="11" r:id="rId4"/>
    <sheet name="E1_SOLVED" sheetId="5" r:id="rId5"/>
  </sheets>
  <externalReferences>
    <externalReference r:id="rId6"/>
    <externalReference r:id="rId7"/>
  </externalReferences>
  <definedNames>
    <definedName name="CONTOSO" localSheetId="1">CONCATENATE_RAW!$D$20:$D$22</definedName>
    <definedName name="CONTOSO">CONCATENATE_SOLVED!$D$20:$D$22</definedName>
    <definedName name="Edad_Media_Empleados" localSheetId="1">CONCATENATE_RAW!$D$22</definedName>
    <definedName name="Edad_Media_Empleados">CONCATENATE_SOLVED!$D$22</definedName>
    <definedName name="Empresa" localSheetId="1">CONCATENATE_RAW!$D$19</definedName>
    <definedName name="Empresa">CONCATENATE_SOLVED!$D$19</definedName>
    <definedName name="Listas_Estados">'[1]Formato Condicional1_Solved'!$L$5:$L$7</definedName>
    <definedName name="Max_cups" localSheetId="1">#REF!</definedName>
    <definedName name="Max_cups" localSheetId="3">#REF!</definedName>
    <definedName name="Max_cups">#REF!</definedName>
    <definedName name="Max_mocha" localSheetId="1">#REF!</definedName>
    <definedName name="Max_mocha" localSheetId="3">#REF!</definedName>
    <definedName name="Max_mocha">#REF!</definedName>
    <definedName name="Max_premium" localSheetId="1">#REF!</definedName>
    <definedName name="Max_premium" localSheetId="3">#REF!</definedName>
    <definedName name="Max_premium">#REF!</definedName>
    <definedName name="Mujeres" localSheetId="1">CONCATENATE_RAW!$D$21</definedName>
    <definedName name="Mujeres">CONCATENATE_SOLVED!$D$21</definedName>
    <definedName name="Nº_Empleados" localSheetId="1">CONCATENATE_RAW!$D$20</definedName>
    <definedName name="Nº_Empleados">CONCATENATE_SOLVED!$D$20</definedName>
    <definedName name="Tipo_Estados">'[2]Formato Condicional1_Solved'!$L$5:$L$7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5" l="1"/>
  <c r="I48" i="5" s="1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41" i="5"/>
  <c r="E41" i="5"/>
  <c r="F41" i="5" s="1"/>
  <c r="E42" i="5"/>
  <c r="H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F55" i="5" s="1"/>
  <c r="C25" i="8"/>
  <c r="H50" i="5" l="1"/>
  <c r="I50" i="5" s="1"/>
  <c r="H49" i="5"/>
  <c r="I49" i="5" s="1"/>
  <c r="H55" i="5"/>
  <c r="I55" i="5" s="1"/>
  <c r="H47" i="5"/>
  <c r="I47" i="5" s="1"/>
  <c r="H54" i="5"/>
  <c r="I54" i="5" s="1"/>
  <c r="H46" i="5"/>
  <c r="I46" i="5" s="1"/>
  <c r="H53" i="5"/>
  <c r="I53" i="5" s="1"/>
  <c r="H45" i="5"/>
  <c r="I45" i="5" s="1"/>
  <c r="H52" i="5"/>
  <c r="I52" i="5" s="1"/>
  <c r="H44" i="5"/>
  <c r="I44" i="5" s="1"/>
  <c r="H41" i="5"/>
  <c r="I41" i="5" s="1"/>
  <c r="H51" i="5"/>
  <c r="I51" i="5" s="1"/>
  <c r="H43" i="5"/>
  <c r="I43" i="5" s="1"/>
  <c r="F42" i="5"/>
  <c r="I42" i="5" s="1"/>
</calcChain>
</file>

<file path=xl/sharedStrings.xml><?xml version="1.0" encoding="utf-8"?>
<sst xmlns="http://schemas.openxmlformats.org/spreadsheetml/2006/main" count="140" uniqueCount="51">
  <si>
    <t>CONTOSO</t>
  </si>
  <si>
    <t>Adding Basic Formulas and Functions</t>
  </si>
  <si>
    <t>Company</t>
  </si>
  <si>
    <t>Nº Employees</t>
  </si>
  <si>
    <t>% Women</t>
  </si>
  <si>
    <t>Average Age Employees</t>
  </si>
  <si>
    <t>CONCATENATE</t>
  </si>
  <si>
    <t>MID</t>
  </si>
  <si>
    <t>LEN</t>
  </si>
  <si>
    <t>Sintax</t>
  </si>
  <si>
    <t>Objective</t>
  </si>
  <si>
    <t>CONCATENATE( text1, [ text2, ... text_n ] )</t>
  </si>
  <si>
    <t>Allows you to join 2 or more strings together</t>
  </si>
  <si>
    <t>Exercises</t>
  </si>
  <si>
    <t>Method</t>
  </si>
  <si>
    <t>CONTOSO is a Company with 150 employees, where 45 are women and 105 are men. The average age of the employees is  40</t>
  </si>
  <si>
    <t>Create the following text from the variables in the list</t>
  </si>
  <si>
    <t>Use of CONCATENATE and basic formulas</t>
  </si>
  <si>
    <t>45 minutes</t>
  </si>
  <si>
    <t>1 hour</t>
  </si>
  <si>
    <t>1,5 hours</t>
  </si>
  <si>
    <t>25 hours</t>
  </si>
  <si>
    <t>5 hours</t>
  </si>
  <si>
    <t>3,5 hours</t>
  </si>
  <si>
    <t>9,5 hours</t>
  </si>
  <si>
    <t>2 hours</t>
  </si>
  <si>
    <t>30 minutes</t>
  </si>
  <si>
    <t xml:space="preserve"> RawData</t>
  </si>
  <si>
    <t xml:space="preserve"> # characters to  " "</t>
  </si>
  <si>
    <t>Extract the number</t>
  </si>
  <si>
    <t>Length</t>
  </si>
  <si>
    <t xml:space="preserve">Extract units </t>
  </si>
  <si>
    <t>HOURS</t>
  </si>
  <si>
    <t>FIND( substring, string, [start_position] )</t>
  </si>
  <si>
    <t>Returns the location of a substring in a string. The search is case-sensitive</t>
  </si>
  <si>
    <t>Put in column '# characters to " "' the number of characters to reach the " "</t>
  </si>
  <si>
    <t>Use of FIND</t>
  </si>
  <si>
    <t>Use of MID</t>
  </si>
  <si>
    <t>Use of LEN</t>
  </si>
  <si>
    <t>MID( text, start_position, number_of_characters )</t>
  </si>
  <si>
    <t>Extracts a substring from a string (starting at any position)</t>
  </si>
  <si>
    <t>Put in column 'Extract the number' the number  contained in the strings of column 'RawData'</t>
  </si>
  <si>
    <t>LEN( text )</t>
  </si>
  <si>
    <t>Returns the length of the specified string</t>
  </si>
  <si>
    <t>Put in column 'Extract units' the word that describes the units  in the strings of column 'RawData'</t>
  </si>
  <si>
    <t>Objective 1</t>
  </si>
  <si>
    <t>Objective 2</t>
  </si>
  <si>
    <t>Use of basic formulas (Nested IF)</t>
  </si>
  <si>
    <t xml:space="preserve">Put in column 'HOURS' the time in decimal hours </t>
  </si>
  <si>
    <t>(Create it here)</t>
  </si>
  <si>
    <r>
      <t xml:space="preserve">Functions Training- </t>
    </r>
    <r>
      <rPr>
        <b/>
        <i/>
        <sz val="16"/>
        <color theme="9"/>
        <rFont val="Calibri"/>
        <family val="2"/>
        <scheme val="minor"/>
      </rPr>
      <t>Text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</si>
</sst>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9"/>
      <name val="Calibri"/>
      <family val="2"/>
      <scheme val="minor"/>
    </font>
    <font>
      <b/>
      <i/>
      <sz val="16"/>
      <color theme="9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onsolas"/>
      <family val="3"/>
    </font>
    <font>
      <b/>
      <sz val="22"/>
      <color theme="5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4"/>
      <color theme="5"/>
      <name val="Arial"/>
      <family val="2"/>
    </font>
    <font>
      <b/>
      <sz val="20"/>
      <color rgb="FF00000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3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1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9" fillId="2" borderId="0" xfId="0" applyFont="1" applyFill="1"/>
    <xf numFmtId="0" fontId="11" fillId="0" borderId="0" xfId="0" applyFont="1"/>
    <xf numFmtId="0" fontId="9" fillId="2" borderId="0" xfId="0" applyFont="1" applyFill="1" applyAlignment="1">
      <alignment vertical="top"/>
    </xf>
    <xf numFmtId="0" fontId="14" fillId="0" borderId="0" xfId="2" applyFont="1" applyAlignment="1">
      <alignment horizontal="right"/>
    </xf>
    <xf numFmtId="0" fontId="9" fillId="3" borderId="0" xfId="0" applyFont="1" applyFill="1"/>
    <xf numFmtId="0" fontId="12" fillId="3" borderId="0" xfId="0" applyFont="1" applyFill="1" applyAlignment="1">
      <alignment horizontal="right"/>
    </xf>
    <xf numFmtId="0" fontId="10" fillId="0" borderId="0" xfId="0" applyFont="1" applyFill="1" applyAlignment="1">
      <alignment horizontal="left" vertical="top" wrapText="1"/>
    </xf>
    <xf numFmtId="0" fontId="17" fillId="0" borderId="0" xfId="0" applyFont="1" applyFill="1" applyBorder="1"/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0" fontId="16" fillId="0" borderId="0" xfId="0" applyFont="1" applyAlignment="1">
      <alignment vertical="top" wrapText="1"/>
    </xf>
    <xf numFmtId="0" fontId="10" fillId="0" borderId="0" xfId="0" applyFont="1" applyFill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</cellXfs>
  <cellStyles count="3">
    <cellStyle name="Normal" xfId="0" builtinId="0"/>
    <cellStyle name="Normal 2" xfId="2" xr:uid="{00000000-0005-0000-0000-000001000000}"/>
    <cellStyle name="Percent" xfId="1" builtinId="5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numFmt numFmtId="2" formatCode="0.00"/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theme="6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top style="thin">
          <color theme="6" tint="0.39997558519241921"/>
        </top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theme="6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Calibri"/>
        <family val="2"/>
        <scheme val="minor"/>
      </font>
      <numFmt numFmtId="2" formatCode="0.00"/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6" tint="0.79998168889431442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C4D79B"/>
        </top>
      </border>
    </dxf>
    <dxf>
      <border outline="0">
        <left style="thin">
          <color rgb="FFC4D79B"/>
        </left>
        <top style="thin">
          <color rgb="FFC4D79B"/>
        </top>
        <bottom style="thin">
          <color rgb="FFC4D79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EBF1DE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C4D79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theme="6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rgb="FFC4D79B"/>
        </top>
      </border>
    </dxf>
    <dxf>
      <border outline="0">
        <left style="thin">
          <color rgb="FFC4D79B"/>
        </left>
        <top style="thin">
          <color rgb="FFC4D79B"/>
        </top>
        <bottom style="thin">
          <color rgb="FFC4D79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auto="1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C4D79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none">
          <fgColor theme="6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</xdr:row>
      <xdr:rowOff>9526</xdr:rowOff>
    </xdr:from>
    <xdr:to>
      <xdr:col>2</xdr:col>
      <xdr:colOff>381000</xdr:colOff>
      <xdr:row>12</xdr:row>
      <xdr:rowOff>20242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8EC490-CF0F-420D-9D5C-25F4C9E91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723901"/>
          <a:ext cx="4048125" cy="17252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online-my.sharepoint.com/Users/xavierh/Documents/0%20Proyectos/Servicios/1405%20TORRES%20GdC/Material%20Docente/Excel/BODEGAS_TORRES_Formato_Condicio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online-my.sharepoint.com/Users/xavierh/Documents/0%20Proyectos/Servicios/1410%20AJUNT%20BCN%20BI/Material%20Docente/AJUNT_BCN_Sesi&#243;n3/AJUNT_BCN_Formato%20Condi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ido"/>
      <sheetName val="Formato Condicional-Intro1"/>
      <sheetName val="Formato Condicional-Intro2"/>
      <sheetName val="Formato Condicional1_Raw"/>
      <sheetName val="Formato Condicional1_Solved"/>
      <sheetName val="Formato Condicional2_Raw"/>
      <sheetName val="Formato Condicional2_Solved"/>
      <sheetName val="Formato Condicional_Duplicados"/>
      <sheetName val="Minigráficos"/>
      <sheetName val="what if"/>
      <sheetName val="What if2"/>
    </sheetNames>
    <sheetDataSet>
      <sheetData sheetId="0"/>
      <sheetData sheetId="1"/>
      <sheetData sheetId="2"/>
      <sheetData sheetId="3"/>
      <sheetData sheetId="4">
        <row r="5">
          <cell r="L5" t="str">
            <v>ENTREGADO</v>
          </cell>
        </row>
        <row r="6">
          <cell r="L6" t="str">
            <v>PENDIENTE ENTREGA</v>
          </cell>
        </row>
        <row r="7">
          <cell r="L7" t="str">
            <v>EXPIRADO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ido"/>
      <sheetName val="Formato Condicional-Intro1"/>
      <sheetName val="Formato Condicional-Intro2"/>
      <sheetName val="Formato Condicional1_Raw"/>
      <sheetName val="Formato Condicional1_Solved"/>
      <sheetName val="Formato Condicional2_Raw"/>
      <sheetName val="Formato Condicional2_Solved"/>
      <sheetName val="Minigráficos"/>
      <sheetName val="what if"/>
      <sheetName val="What if2"/>
    </sheetNames>
    <sheetDataSet>
      <sheetData sheetId="0"/>
      <sheetData sheetId="1"/>
      <sheetData sheetId="2"/>
      <sheetData sheetId="3"/>
      <sheetData sheetId="4">
        <row r="5">
          <cell r="L5" t="str">
            <v>ENTREGADO</v>
          </cell>
        </row>
        <row r="6">
          <cell r="L6" t="str">
            <v>PENDIENTE ENTREGA</v>
          </cell>
        </row>
        <row r="7">
          <cell r="L7" t="str">
            <v>EXPIRADO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14" displayName="Table14" ref="C40:C55" totalsRowShown="0" headerRowDxfId="31" dataDxfId="29" headerRowBorderDxfId="30" tableBorderDxfId="28" totalsRowBorderDxfId="27">
  <autoFilter ref="C40:C55" xr:uid="{00000000-0009-0000-0100-000003000000}"/>
  <tableColumns count="1">
    <tableColumn id="1" xr3:uid="{00000000-0010-0000-0000-000001000000}" name=" RawData" dataDxfId="26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25" displayName="Table25" ref="E40:I55" totalsRowShown="0" headerRowDxfId="25" dataDxfId="23" headerRowBorderDxfId="24" tableBorderDxfId="22" totalsRowBorderDxfId="21">
  <autoFilter ref="E40:I55" xr:uid="{00000000-0009-0000-0100-000004000000}"/>
  <tableColumns count="5">
    <tableColumn id="1" xr3:uid="{00000000-0010-0000-0100-000001000000}" name=" # characters to  &quot; &quot;" dataDxfId="20"/>
    <tableColumn id="2" xr3:uid="{00000000-0010-0000-0100-000002000000}" name="Extract the number" dataDxfId="19"/>
    <tableColumn id="3" xr3:uid="{00000000-0010-0000-0100-000003000000}" name="Length" dataDxfId="18"/>
    <tableColumn id="4" xr3:uid="{00000000-0010-0000-0100-000004000000}" name="Extract units " dataDxfId="17"/>
    <tableColumn id="5" xr3:uid="{00000000-0010-0000-0100-000005000000}" name="HOURS" dataDxfId="16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C40:C55" totalsRowShown="0" headerRowDxfId="15" dataDxfId="13" headerRowBorderDxfId="14" tableBorderDxfId="12" totalsRowBorderDxfId="11">
  <autoFilter ref="C40:C55" xr:uid="{00000000-0009-0000-0100-000001000000}"/>
  <tableColumns count="1">
    <tableColumn id="1" xr3:uid="{00000000-0010-0000-0200-000001000000}" name=" RawData" dataDxfId="1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E40:I55" totalsRowShown="0" headerRowDxfId="9" dataDxfId="7" headerRowBorderDxfId="8" tableBorderDxfId="6" totalsRowBorderDxfId="5">
  <autoFilter ref="E40:I55" xr:uid="{00000000-0009-0000-0100-000002000000}"/>
  <tableColumns count="5">
    <tableColumn id="1" xr3:uid="{00000000-0010-0000-0300-000001000000}" name=" # characters to  &quot; &quot;" dataDxfId="4">
      <calculatedColumnFormula>FIND(" ",C41)</calculatedColumnFormula>
    </tableColumn>
    <tableColumn id="2" xr3:uid="{00000000-0010-0000-0300-000002000000}" name="Extract the number" dataDxfId="3">
      <calculatedColumnFormula>MID(C41,1,E41-1)</calculatedColumnFormula>
    </tableColumn>
    <tableColumn id="3" xr3:uid="{00000000-0010-0000-0300-000003000000}" name="Length" dataDxfId="2">
      <calculatedColumnFormula>LEN(C41)</calculatedColumnFormula>
    </tableColumn>
    <tableColumn id="4" xr3:uid="{00000000-0010-0000-0300-000004000000}" name="Extract units " dataDxfId="1">
      <calculatedColumnFormula>MID(C41,E41+1,G41-E41)</calculatedColumnFormula>
    </tableColumn>
    <tableColumn id="5" xr3:uid="{00000000-0010-0000-0300-000005000000}" name="HOURS" dataDxfId="0">
      <calculatedColumnFormula>IF(OR(H41="hour",H41="hours"),F41*1,IF(H41="minutes",F41/60,))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22"/>
  <sheetViews>
    <sheetView showGridLines="0" tabSelected="1" workbookViewId="0">
      <selection activeCell="B17" sqref="B17"/>
    </sheetView>
  </sheetViews>
  <sheetFormatPr defaultColWidth="9" defaultRowHeight="14.5" x14ac:dyDescent="0.35"/>
  <cols>
    <col min="2" max="2" width="57.81640625" style="7" customWidth="1"/>
    <col min="3" max="3" width="10" customWidth="1"/>
    <col min="4" max="4" width="9.453125" customWidth="1"/>
  </cols>
  <sheetData>
    <row r="3" spans="2:2" ht="26" x14ac:dyDescent="0.6">
      <c r="B3" s="5" t="s">
        <v>1</v>
      </c>
    </row>
    <row r="16" spans="2:2" ht="21" x14ac:dyDescent="0.5">
      <c r="B16" s="8" t="s">
        <v>50</v>
      </c>
    </row>
    <row r="17" spans="2:2" ht="21" x14ac:dyDescent="0.5">
      <c r="B17" s="6" t="s">
        <v>6</v>
      </c>
    </row>
    <row r="18" spans="2:2" ht="21" x14ac:dyDescent="0.5">
      <c r="B18" s="6" t="s">
        <v>7</v>
      </c>
    </row>
    <row r="19" spans="2:2" ht="21" x14ac:dyDescent="0.5">
      <c r="B19" s="6" t="s">
        <v>8</v>
      </c>
    </row>
    <row r="20" spans="2:2" ht="21" x14ac:dyDescent="0.5">
      <c r="B20" s="6"/>
    </row>
    <row r="21" spans="2:2" ht="21" x14ac:dyDescent="0.5">
      <c r="B21" s="6"/>
    </row>
    <row r="22" spans="2:2" ht="21" x14ac:dyDescent="0.5">
      <c r="B22" s="6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0"/>
  <sheetViews>
    <sheetView topLeftCell="A4" workbookViewId="0">
      <selection activeCell="H15" sqref="H15"/>
    </sheetView>
  </sheetViews>
  <sheetFormatPr defaultColWidth="11.453125" defaultRowHeight="14.5" x14ac:dyDescent="0.35"/>
  <cols>
    <col min="2" max="2" width="14.81640625" customWidth="1"/>
    <col min="3" max="3" width="26" customWidth="1"/>
    <col min="4" max="4" width="11.453125" style="2"/>
  </cols>
  <sheetData>
    <row r="2" spans="2:11" ht="23.5" x14ac:dyDescent="0.55000000000000004">
      <c r="B2" s="9" t="s">
        <v>9</v>
      </c>
      <c r="C2" s="24" t="s">
        <v>11</v>
      </c>
      <c r="D2" s="24"/>
      <c r="E2" s="24"/>
      <c r="F2" s="24"/>
      <c r="G2" s="24"/>
      <c r="H2" s="24"/>
      <c r="I2" s="24"/>
      <c r="J2" s="24"/>
      <c r="K2" s="24"/>
    </row>
    <row r="3" spans="2:11" ht="28.5" x14ac:dyDescent="0.65">
      <c r="B3" s="10"/>
      <c r="D3"/>
    </row>
    <row r="4" spans="2:11" ht="23.5" x14ac:dyDescent="0.35">
      <c r="B4" s="11" t="s">
        <v>10</v>
      </c>
      <c r="C4" s="24" t="s">
        <v>12</v>
      </c>
      <c r="D4" s="24"/>
      <c r="E4" s="24"/>
      <c r="F4" s="24"/>
      <c r="G4" s="24"/>
      <c r="H4" s="24"/>
      <c r="I4" s="24"/>
      <c r="J4" s="24"/>
      <c r="K4" s="24"/>
    </row>
    <row r="5" spans="2:11" ht="21.75" customHeight="1" x14ac:dyDescent="0.35">
      <c r="C5" s="1"/>
    </row>
    <row r="6" spans="2:11" ht="23.5" x14ac:dyDescent="0.55000000000000004">
      <c r="B6" s="13" t="s">
        <v>13</v>
      </c>
      <c r="C6" s="1"/>
    </row>
    <row r="7" spans="2:11" ht="8" customHeight="1" x14ac:dyDescent="0.65">
      <c r="B7" s="10"/>
      <c r="C7" s="1"/>
    </row>
    <row r="8" spans="2:11" ht="18.5" x14ac:dyDescent="0.45">
      <c r="B8" s="14" t="s">
        <v>10</v>
      </c>
      <c r="C8" s="24" t="s">
        <v>16</v>
      </c>
      <c r="D8" s="24"/>
      <c r="E8" s="24"/>
      <c r="F8" s="24"/>
      <c r="G8" s="24"/>
      <c r="H8" s="24"/>
      <c r="I8" s="24"/>
      <c r="J8" s="24"/>
      <c r="K8" s="24"/>
    </row>
    <row r="9" spans="2:11" ht="15.5" x14ac:dyDescent="0.35">
      <c r="C9" s="15"/>
      <c r="D9" s="15"/>
      <c r="E9" s="15"/>
      <c r="F9" s="15"/>
      <c r="G9" s="15"/>
      <c r="H9" s="15"/>
      <c r="I9" s="15"/>
      <c r="J9" s="15"/>
      <c r="K9" s="15"/>
    </row>
    <row r="10" spans="2:11" ht="81.75" customHeight="1" x14ac:dyDescent="0.35">
      <c r="C10" s="25" t="s">
        <v>15</v>
      </c>
      <c r="D10" s="25"/>
      <c r="E10" s="25"/>
      <c r="F10" s="25"/>
      <c r="G10" s="25"/>
      <c r="H10" s="25"/>
      <c r="I10" s="15"/>
      <c r="J10" s="15"/>
      <c r="K10" s="15"/>
    </row>
    <row r="11" spans="2:11" ht="15.5" x14ac:dyDescent="0.35">
      <c r="C11" s="15"/>
      <c r="D11" s="15"/>
      <c r="E11" s="15"/>
      <c r="F11" s="15"/>
      <c r="G11" s="15"/>
      <c r="H11" s="15"/>
      <c r="I11" s="15"/>
      <c r="J11" s="15"/>
      <c r="K11" s="15"/>
    </row>
    <row r="12" spans="2:11" ht="17.5" x14ac:dyDescent="0.35">
      <c r="B12" s="12"/>
      <c r="C12" s="1"/>
    </row>
    <row r="13" spans="2:11" ht="18.5" x14ac:dyDescent="0.45">
      <c r="B13" s="14" t="s">
        <v>14</v>
      </c>
      <c r="C13" s="24" t="s">
        <v>17</v>
      </c>
      <c r="D13" s="24"/>
      <c r="E13" s="24"/>
      <c r="F13" s="24"/>
      <c r="G13" s="24"/>
      <c r="H13" s="24"/>
      <c r="I13" s="24"/>
      <c r="J13" s="24"/>
      <c r="K13" s="24"/>
    </row>
    <row r="14" spans="2:11" x14ac:dyDescent="0.35">
      <c r="B14" s="1"/>
      <c r="C14" s="1"/>
    </row>
    <row r="15" spans="2:11" x14ac:dyDescent="0.35">
      <c r="B15" s="1"/>
      <c r="C15" s="1"/>
    </row>
    <row r="16" spans="2:11" x14ac:dyDescent="0.35">
      <c r="B16" s="1"/>
      <c r="C16" s="1"/>
    </row>
    <row r="17" spans="2:10" x14ac:dyDescent="0.35">
      <c r="B17" s="1"/>
      <c r="C17" s="1"/>
    </row>
    <row r="18" spans="2:10" x14ac:dyDescent="0.35">
      <c r="B18" s="1"/>
      <c r="C18" s="1"/>
    </row>
    <row r="19" spans="2:10" x14ac:dyDescent="0.35">
      <c r="C19" s="1" t="s">
        <v>2</v>
      </c>
      <c r="D19" s="2" t="s">
        <v>0</v>
      </c>
    </row>
    <row r="20" spans="2:10" x14ac:dyDescent="0.35">
      <c r="C20" s="1" t="s">
        <v>3</v>
      </c>
      <c r="D20" s="2">
        <v>150</v>
      </c>
    </row>
    <row r="21" spans="2:10" x14ac:dyDescent="0.35">
      <c r="C21" s="1" t="s">
        <v>4</v>
      </c>
      <c r="D21" s="3">
        <v>0.3</v>
      </c>
    </row>
    <row r="22" spans="2:10" x14ac:dyDescent="0.35">
      <c r="C22" s="1" t="s">
        <v>5</v>
      </c>
      <c r="D22" s="2">
        <v>40</v>
      </c>
    </row>
    <row r="23" spans="2:10" x14ac:dyDescent="0.35">
      <c r="C23" s="1"/>
    </row>
    <row r="24" spans="2:10" x14ac:dyDescent="0.35">
      <c r="C24" s="1"/>
    </row>
    <row r="25" spans="2:10" x14ac:dyDescent="0.35">
      <c r="C25" s="23" t="s">
        <v>49</v>
      </c>
      <c r="D25" s="23"/>
      <c r="E25" s="23"/>
      <c r="F25" s="23"/>
      <c r="G25" s="23"/>
      <c r="H25" s="23"/>
      <c r="I25" s="23"/>
      <c r="J25" s="23"/>
    </row>
    <row r="26" spans="2:10" x14ac:dyDescent="0.35">
      <c r="C26" s="23"/>
      <c r="D26" s="23"/>
      <c r="E26" s="23"/>
      <c r="F26" s="23"/>
      <c r="G26" s="23"/>
      <c r="H26" s="23"/>
      <c r="I26" s="23"/>
      <c r="J26" s="23"/>
    </row>
    <row r="27" spans="2:10" x14ac:dyDescent="0.35">
      <c r="C27" s="23"/>
      <c r="D27" s="23"/>
      <c r="E27" s="23"/>
      <c r="F27" s="23"/>
      <c r="G27" s="23"/>
      <c r="H27" s="23"/>
      <c r="I27" s="23"/>
      <c r="J27" s="23"/>
    </row>
    <row r="28" spans="2:10" x14ac:dyDescent="0.35">
      <c r="C28" s="23"/>
      <c r="D28" s="23"/>
      <c r="E28" s="23"/>
      <c r="F28" s="23"/>
      <c r="G28" s="23"/>
      <c r="H28" s="23"/>
      <c r="I28" s="23"/>
      <c r="J28" s="23"/>
    </row>
    <row r="29" spans="2:10" x14ac:dyDescent="0.35">
      <c r="C29" s="23"/>
      <c r="D29" s="23"/>
      <c r="E29" s="23"/>
      <c r="F29" s="23"/>
      <c r="G29" s="23"/>
      <c r="H29" s="23"/>
      <c r="I29" s="23"/>
      <c r="J29" s="23"/>
    </row>
    <row r="30" spans="2:10" x14ac:dyDescent="0.35">
      <c r="C30" s="23"/>
      <c r="D30" s="23"/>
      <c r="E30" s="23"/>
      <c r="F30" s="23"/>
      <c r="G30" s="23"/>
      <c r="H30" s="23"/>
      <c r="I30" s="23"/>
      <c r="J30" s="23"/>
    </row>
    <row r="31" spans="2:10" x14ac:dyDescent="0.35">
      <c r="C31" s="23"/>
      <c r="D31" s="23"/>
      <c r="E31" s="23"/>
      <c r="F31" s="23"/>
      <c r="G31" s="23"/>
      <c r="H31" s="23"/>
      <c r="I31" s="23"/>
      <c r="J31" s="23"/>
    </row>
    <row r="32" spans="2:10" x14ac:dyDescent="0.35">
      <c r="C32" s="23"/>
      <c r="D32" s="23"/>
      <c r="E32" s="23"/>
      <c r="F32" s="23"/>
      <c r="G32" s="23"/>
      <c r="H32" s="23"/>
      <c r="I32" s="23"/>
      <c r="J32" s="23"/>
    </row>
    <row r="34" spans="3:10" ht="15" customHeight="1" x14ac:dyDescent="0.35">
      <c r="C34" s="4"/>
      <c r="D34" s="4"/>
      <c r="E34" s="4"/>
      <c r="F34" s="4"/>
      <c r="G34" s="4"/>
      <c r="H34" s="4"/>
      <c r="I34" s="4"/>
      <c r="J34" s="4"/>
    </row>
    <row r="35" spans="3:10" ht="15" customHeight="1" x14ac:dyDescent="0.35">
      <c r="C35" s="4"/>
      <c r="D35" s="4"/>
      <c r="E35" s="4"/>
      <c r="F35" s="4"/>
      <c r="G35" s="4"/>
      <c r="H35" s="4"/>
      <c r="I35" s="4"/>
      <c r="J35" s="4"/>
    </row>
    <row r="36" spans="3:10" ht="15" customHeight="1" x14ac:dyDescent="0.35">
      <c r="C36" s="4"/>
      <c r="D36" s="4"/>
      <c r="E36" s="4"/>
      <c r="F36" s="4"/>
      <c r="G36" s="4"/>
      <c r="H36" s="4"/>
      <c r="I36" s="4"/>
      <c r="J36" s="4"/>
    </row>
    <row r="37" spans="3:10" ht="15" customHeight="1" x14ac:dyDescent="0.35">
      <c r="C37" s="4"/>
      <c r="D37" s="4"/>
      <c r="E37" s="4"/>
      <c r="F37" s="4"/>
      <c r="G37" s="4"/>
      <c r="H37" s="4"/>
      <c r="I37" s="4"/>
      <c r="J37" s="4"/>
    </row>
    <row r="38" spans="3:10" ht="15" customHeight="1" x14ac:dyDescent="0.35">
      <c r="C38" s="4"/>
      <c r="D38" s="4"/>
      <c r="E38" s="4"/>
      <c r="F38" s="4"/>
      <c r="G38" s="4"/>
      <c r="H38" s="4"/>
      <c r="I38" s="4"/>
      <c r="J38" s="4"/>
    </row>
    <row r="39" spans="3:10" ht="15" customHeight="1" x14ac:dyDescent="0.35">
      <c r="C39" s="4"/>
      <c r="D39" s="4"/>
      <c r="E39" s="4"/>
      <c r="F39" s="4"/>
      <c r="G39" s="4"/>
      <c r="H39" s="4"/>
      <c r="I39" s="4"/>
      <c r="J39" s="4"/>
    </row>
    <row r="40" spans="3:10" ht="15" customHeight="1" x14ac:dyDescent="0.35">
      <c r="C40" s="4"/>
      <c r="D40" s="4"/>
      <c r="E40" s="4"/>
      <c r="F40" s="4"/>
      <c r="G40" s="4"/>
      <c r="H40" s="4"/>
      <c r="I40" s="4"/>
      <c r="J40" s="4"/>
    </row>
  </sheetData>
  <mergeCells count="6">
    <mergeCell ref="C25:J32"/>
    <mergeCell ref="C2:K2"/>
    <mergeCell ref="C4:K4"/>
    <mergeCell ref="C8:K8"/>
    <mergeCell ref="C10:H10"/>
    <mergeCell ref="C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40"/>
  <sheetViews>
    <sheetView workbookViewId="0">
      <selection activeCell="B6" sqref="B6:K13"/>
    </sheetView>
  </sheetViews>
  <sheetFormatPr defaultColWidth="11.453125" defaultRowHeight="14.5" x14ac:dyDescent="0.35"/>
  <cols>
    <col min="2" max="2" width="14.81640625" bestFit="1" customWidth="1"/>
    <col min="3" max="3" width="26" customWidth="1"/>
    <col min="4" max="4" width="11.453125" style="2"/>
  </cols>
  <sheetData>
    <row r="2" spans="2:11" ht="23.5" x14ac:dyDescent="0.55000000000000004">
      <c r="B2" s="9" t="s">
        <v>9</v>
      </c>
      <c r="C2" s="24" t="s">
        <v>11</v>
      </c>
      <c r="D2" s="24"/>
      <c r="E2" s="24"/>
      <c r="F2" s="24"/>
      <c r="G2" s="24"/>
      <c r="H2" s="24"/>
      <c r="I2" s="24"/>
      <c r="J2" s="24"/>
      <c r="K2" s="24"/>
    </row>
    <row r="3" spans="2:11" ht="28.5" x14ac:dyDescent="0.65">
      <c r="B3" s="10"/>
      <c r="D3"/>
    </row>
    <row r="4" spans="2:11" ht="23.5" x14ac:dyDescent="0.35">
      <c r="B4" s="11" t="s">
        <v>10</v>
      </c>
      <c r="C4" s="24" t="s">
        <v>12</v>
      </c>
      <c r="D4" s="24"/>
      <c r="E4" s="24"/>
      <c r="F4" s="24"/>
      <c r="G4" s="24"/>
      <c r="H4" s="24"/>
      <c r="I4" s="24"/>
      <c r="J4" s="24"/>
      <c r="K4" s="24"/>
    </row>
    <row r="5" spans="2:11" ht="21.75" customHeight="1" x14ac:dyDescent="0.35">
      <c r="C5" s="1"/>
    </row>
    <row r="6" spans="2:11" ht="23.5" x14ac:dyDescent="0.55000000000000004">
      <c r="B6" s="13" t="s">
        <v>13</v>
      </c>
      <c r="C6" s="1"/>
    </row>
    <row r="7" spans="2:11" ht="15" customHeight="1" x14ac:dyDescent="0.65">
      <c r="B7" s="10"/>
      <c r="C7" s="1"/>
    </row>
    <row r="8" spans="2:11" ht="18.5" x14ac:dyDescent="0.45">
      <c r="B8" s="14" t="s">
        <v>10</v>
      </c>
      <c r="C8" s="24" t="s">
        <v>16</v>
      </c>
      <c r="D8" s="24"/>
      <c r="E8" s="24"/>
      <c r="F8" s="24"/>
      <c r="G8" s="24"/>
      <c r="H8" s="24"/>
      <c r="I8" s="24"/>
      <c r="J8" s="24"/>
      <c r="K8" s="24"/>
    </row>
    <row r="9" spans="2:11" ht="15.5" x14ac:dyDescent="0.35">
      <c r="C9" s="15"/>
      <c r="D9" s="15"/>
      <c r="E9" s="15"/>
      <c r="F9" s="15"/>
      <c r="G9" s="15"/>
      <c r="H9" s="15"/>
      <c r="I9" s="15"/>
      <c r="J9" s="15"/>
      <c r="K9" s="15"/>
    </row>
    <row r="10" spans="2:11" ht="81.75" customHeight="1" x14ac:dyDescent="0.35">
      <c r="C10" s="25" t="s">
        <v>15</v>
      </c>
      <c r="D10" s="25"/>
      <c r="E10" s="25"/>
      <c r="F10" s="25"/>
      <c r="G10" s="25"/>
      <c r="H10" s="25"/>
      <c r="I10" s="15"/>
      <c r="J10" s="15"/>
      <c r="K10" s="15"/>
    </row>
    <row r="11" spans="2:11" ht="15.5" x14ac:dyDescent="0.35">
      <c r="C11" s="15"/>
      <c r="D11" s="15"/>
      <c r="E11" s="15"/>
      <c r="F11" s="15"/>
      <c r="G11" s="15"/>
      <c r="H11" s="15"/>
      <c r="I11" s="15"/>
      <c r="J11" s="15"/>
      <c r="K11" s="15"/>
    </row>
    <row r="12" spans="2:11" ht="17.5" x14ac:dyDescent="0.35">
      <c r="B12" s="12"/>
      <c r="C12" s="1"/>
    </row>
    <row r="13" spans="2:11" ht="18.5" x14ac:dyDescent="0.45">
      <c r="B13" s="14" t="s">
        <v>14</v>
      </c>
      <c r="C13" s="24" t="s">
        <v>17</v>
      </c>
      <c r="D13" s="24"/>
      <c r="E13" s="24"/>
      <c r="F13" s="24"/>
      <c r="G13" s="24"/>
      <c r="H13" s="24"/>
      <c r="I13" s="24"/>
      <c r="J13" s="24"/>
      <c r="K13" s="24"/>
    </row>
    <row r="14" spans="2:11" x14ac:dyDescent="0.35">
      <c r="B14" s="1"/>
      <c r="C14" s="1"/>
    </row>
    <row r="15" spans="2:11" x14ac:dyDescent="0.35">
      <c r="B15" s="1"/>
      <c r="C15" s="1"/>
    </row>
    <row r="16" spans="2:11" x14ac:dyDescent="0.35">
      <c r="B16" s="1"/>
      <c r="C16" s="1"/>
    </row>
    <row r="17" spans="2:10" x14ac:dyDescent="0.35">
      <c r="B17" s="1"/>
      <c r="C17" s="1"/>
    </row>
    <row r="18" spans="2:10" x14ac:dyDescent="0.35">
      <c r="B18" s="1"/>
      <c r="C18" s="1"/>
    </row>
    <row r="19" spans="2:10" x14ac:dyDescent="0.35">
      <c r="C19" s="1" t="s">
        <v>2</v>
      </c>
      <c r="D19" s="2" t="s">
        <v>0</v>
      </c>
    </row>
    <row r="20" spans="2:10" x14ac:dyDescent="0.35">
      <c r="C20" s="1" t="s">
        <v>3</v>
      </c>
      <c r="D20" s="2">
        <v>150</v>
      </c>
    </row>
    <row r="21" spans="2:10" x14ac:dyDescent="0.35">
      <c r="C21" s="1" t="s">
        <v>4</v>
      </c>
      <c r="D21" s="3">
        <v>0.3</v>
      </c>
    </row>
    <row r="22" spans="2:10" x14ac:dyDescent="0.35">
      <c r="C22" s="1" t="s">
        <v>5</v>
      </c>
      <c r="D22" s="2">
        <v>40</v>
      </c>
    </row>
    <row r="23" spans="2:10" x14ac:dyDescent="0.35">
      <c r="C23" s="1"/>
    </row>
    <row r="24" spans="2:10" x14ac:dyDescent="0.35">
      <c r="C24" s="1"/>
    </row>
    <row r="25" spans="2:10" x14ac:dyDescent="0.35">
      <c r="C25" s="26" t="str">
        <f>Empresa&amp;" is a Company with "&amp;Nº_Empleados&amp;" employees, where "&amp;(Mujeres*Nº_Empleados)&amp;" are women and "&amp;(1-Mujeres)*Nº_Empleados&amp;" are men. The average age of the employees is  "&amp;Edad_Media_Empleados</f>
        <v>CONTOSO is a Company with 150 employees, where 45 are women and 105 are men. The average age of the employees is  40</v>
      </c>
      <c r="D25" s="26"/>
      <c r="E25" s="26"/>
      <c r="F25" s="26"/>
      <c r="G25" s="26"/>
      <c r="H25" s="26"/>
      <c r="I25" s="26"/>
      <c r="J25" s="26"/>
    </row>
    <row r="26" spans="2:10" x14ac:dyDescent="0.35">
      <c r="C26" s="26"/>
      <c r="D26" s="26"/>
      <c r="E26" s="26"/>
      <c r="F26" s="26"/>
      <c r="G26" s="26"/>
      <c r="H26" s="26"/>
      <c r="I26" s="26"/>
      <c r="J26" s="26"/>
    </row>
    <row r="27" spans="2:10" x14ac:dyDescent="0.35">
      <c r="C27" s="26"/>
      <c r="D27" s="26"/>
      <c r="E27" s="26"/>
      <c r="F27" s="26"/>
      <c r="G27" s="26"/>
      <c r="H27" s="26"/>
      <c r="I27" s="26"/>
      <c r="J27" s="26"/>
    </row>
    <row r="28" spans="2:10" x14ac:dyDescent="0.35">
      <c r="C28" s="26"/>
      <c r="D28" s="26"/>
      <c r="E28" s="26"/>
      <c r="F28" s="26"/>
      <c r="G28" s="26"/>
      <c r="H28" s="26"/>
      <c r="I28" s="26"/>
      <c r="J28" s="26"/>
    </row>
    <row r="29" spans="2:10" x14ac:dyDescent="0.35">
      <c r="C29" s="26"/>
      <c r="D29" s="26"/>
      <c r="E29" s="26"/>
      <c r="F29" s="26"/>
      <c r="G29" s="26"/>
      <c r="H29" s="26"/>
      <c r="I29" s="26"/>
      <c r="J29" s="26"/>
    </row>
    <row r="30" spans="2:10" x14ac:dyDescent="0.35">
      <c r="C30" s="26"/>
      <c r="D30" s="26"/>
      <c r="E30" s="26"/>
      <c r="F30" s="26"/>
      <c r="G30" s="26"/>
      <c r="H30" s="26"/>
      <c r="I30" s="26"/>
      <c r="J30" s="26"/>
    </row>
    <row r="31" spans="2:10" x14ac:dyDescent="0.35">
      <c r="C31" s="26"/>
      <c r="D31" s="26"/>
      <c r="E31" s="26"/>
      <c r="F31" s="26"/>
      <c r="G31" s="26"/>
      <c r="H31" s="26"/>
      <c r="I31" s="26"/>
      <c r="J31" s="26"/>
    </row>
    <row r="32" spans="2:10" x14ac:dyDescent="0.35">
      <c r="C32" s="26"/>
      <c r="D32" s="26"/>
      <c r="E32" s="26"/>
      <c r="F32" s="26"/>
      <c r="G32" s="26"/>
      <c r="H32" s="26"/>
      <c r="I32" s="26"/>
      <c r="J32" s="26"/>
    </row>
    <row r="34" spans="3:10" ht="15" customHeight="1" x14ac:dyDescent="0.35">
      <c r="C34" s="4"/>
      <c r="D34" s="4"/>
      <c r="E34" s="4"/>
      <c r="F34" s="4"/>
      <c r="G34" s="4"/>
      <c r="H34" s="4"/>
      <c r="I34" s="4"/>
      <c r="J34" s="4"/>
    </row>
    <row r="35" spans="3:10" ht="15" customHeight="1" x14ac:dyDescent="0.35">
      <c r="C35" s="4"/>
      <c r="D35" s="4"/>
      <c r="E35" s="4"/>
      <c r="F35" s="4"/>
      <c r="G35" s="4"/>
      <c r="H35" s="4"/>
      <c r="I35" s="4"/>
      <c r="J35" s="4"/>
    </row>
    <row r="36" spans="3:10" ht="15" customHeight="1" x14ac:dyDescent="0.35">
      <c r="C36" s="4"/>
      <c r="D36" s="4"/>
      <c r="E36" s="4"/>
      <c r="F36" s="4"/>
      <c r="G36" s="4"/>
      <c r="H36" s="4"/>
      <c r="I36" s="4"/>
      <c r="J36" s="4"/>
    </row>
    <row r="37" spans="3:10" ht="15" customHeight="1" x14ac:dyDescent="0.35">
      <c r="C37" s="4"/>
      <c r="D37" s="4"/>
      <c r="E37" s="4"/>
      <c r="F37" s="4"/>
      <c r="G37" s="4"/>
      <c r="H37" s="4"/>
      <c r="I37" s="4"/>
      <c r="J37" s="4"/>
    </row>
    <row r="38" spans="3:10" ht="15" customHeight="1" x14ac:dyDescent="0.35">
      <c r="C38" s="4"/>
      <c r="D38" s="4"/>
      <c r="E38" s="4"/>
      <c r="F38" s="4"/>
      <c r="G38" s="4"/>
      <c r="H38" s="4"/>
      <c r="I38" s="4"/>
      <c r="J38" s="4"/>
    </row>
    <row r="39" spans="3:10" ht="15" customHeight="1" x14ac:dyDescent="0.35">
      <c r="C39" s="4"/>
      <c r="D39" s="4"/>
      <c r="E39" s="4"/>
      <c r="F39" s="4"/>
      <c r="G39" s="4"/>
      <c r="H39" s="4"/>
      <c r="I39" s="4"/>
      <c r="J39" s="4"/>
    </row>
    <row r="40" spans="3:10" ht="15" customHeight="1" x14ac:dyDescent="0.35">
      <c r="C40" s="4"/>
      <c r="D40" s="4"/>
      <c r="E40" s="4"/>
      <c r="F40" s="4"/>
      <c r="G40" s="4"/>
      <c r="H40" s="4"/>
      <c r="I40" s="4"/>
      <c r="J40" s="4"/>
    </row>
  </sheetData>
  <mergeCells count="6">
    <mergeCell ref="C25:J32"/>
    <mergeCell ref="C2:K2"/>
    <mergeCell ref="C4:K4"/>
    <mergeCell ref="C8:K8"/>
    <mergeCell ref="C10:H10"/>
    <mergeCell ref="C13:K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55"/>
  <sheetViews>
    <sheetView topLeftCell="A13" zoomScaleNormal="100" workbookViewId="0">
      <selection activeCell="O48" sqref="O48"/>
    </sheetView>
  </sheetViews>
  <sheetFormatPr defaultColWidth="11.453125" defaultRowHeight="14.5" x14ac:dyDescent="0.35"/>
  <cols>
    <col min="1" max="1" width="11.453125" style="19"/>
    <col min="2" max="2" width="16.1796875" style="19" customWidth="1"/>
    <col min="3" max="3" width="22.54296875" style="19" customWidth="1"/>
    <col min="4" max="4" width="8.54296875" style="19" customWidth="1"/>
    <col min="5" max="5" width="24.453125" style="19" customWidth="1"/>
    <col min="6" max="6" width="25" style="19" customWidth="1"/>
    <col min="7" max="7" width="14.26953125" style="19" customWidth="1"/>
    <col min="8" max="8" width="23.1796875" style="19" customWidth="1"/>
    <col min="9" max="16384" width="11.453125" style="19"/>
  </cols>
  <sheetData>
    <row r="2" spans="2:11" ht="23.5" x14ac:dyDescent="0.55000000000000004">
      <c r="B2" s="9" t="s">
        <v>9</v>
      </c>
      <c r="C2" s="24" t="s">
        <v>33</v>
      </c>
      <c r="D2" s="24"/>
      <c r="E2" s="24"/>
      <c r="F2" s="24"/>
      <c r="G2" s="24"/>
      <c r="H2" s="24"/>
      <c r="I2" s="24"/>
      <c r="J2" s="24"/>
      <c r="K2" s="24"/>
    </row>
    <row r="3" spans="2:11" ht="28.5" x14ac:dyDescent="0.65">
      <c r="B3" s="10"/>
      <c r="C3"/>
      <c r="D3"/>
      <c r="E3"/>
      <c r="F3"/>
      <c r="G3"/>
      <c r="H3"/>
      <c r="I3"/>
      <c r="J3"/>
      <c r="K3"/>
    </row>
    <row r="4" spans="2:11" ht="23.5" x14ac:dyDescent="0.35">
      <c r="B4" s="11" t="s">
        <v>10</v>
      </c>
      <c r="C4" s="24" t="s">
        <v>34</v>
      </c>
      <c r="D4" s="24"/>
      <c r="E4" s="24"/>
      <c r="F4" s="24"/>
      <c r="G4" s="24"/>
      <c r="H4" s="24"/>
      <c r="I4" s="24"/>
      <c r="J4" s="24"/>
      <c r="K4" s="24"/>
    </row>
    <row r="5" spans="2:11" ht="26.25" customHeight="1" x14ac:dyDescent="0.35"/>
    <row r="6" spans="2:11" ht="23.5" x14ac:dyDescent="0.55000000000000004">
      <c r="B6" s="13" t="s">
        <v>13</v>
      </c>
      <c r="C6" s="1"/>
      <c r="D6" s="2"/>
      <c r="E6"/>
      <c r="F6"/>
      <c r="G6"/>
      <c r="H6"/>
      <c r="I6"/>
      <c r="J6"/>
      <c r="K6"/>
    </row>
    <row r="7" spans="2:11" ht="12.75" customHeight="1" x14ac:dyDescent="0.65">
      <c r="B7" s="10"/>
      <c r="C7" s="1"/>
      <c r="D7" s="2"/>
      <c r="E7"/>
      <c r="F7"/>
      <c r="G7"/>
      <c r="H7"/>
      <c r="I7"/>
      <c r="J7"/>
      <c r="K7"/>
    </row>
    <row r="8" spans="2:11" ht="18.5" x14ac:dyDescent="0.45">
      <c r="B8" s="14" t="s">
        <v>10</v>
      </c>
      <c r="C8" s="24" t="s">
        <v>35</v>
      </c>
      <c r="D8" s="24"/>
      <c r="E8" s="24"/>
      <c r="F8" s="24"/>
      <c r="G8" s="24"/>
      <c r="H8" s="24"/>
      <c r="I8" s="24"/>
      <c r="J8" s="24"/>
      <c r="K8" s="24"/>
    </row>
    <row r="9" spans="2:11" ht="15.5" x14ac:dyDescent="0.35">
      <c r="B9"/>
      <c r="C9" s="15"/>
      <c r="D9" s="15"/>
      <c r="E9" s="15"/>
      <c r="F9" s="15"/>
      <c r="G9" s="15"/>
      <c r="H9" s="15"/>
      <c r="I9" s="15"/>
      <c r="J9" s="15"/>
      <c r="K9" s="15"/>
    </row>
    <row r="10" spans="2:11" ht="18.5" x14ac:dyDescent="0.45">
      <c r="B10" s="14" t="s">
        <v>14</v>
      </c>
      <c r="C10" s="24" t="s">
        <v>36</v>
      </c>
      <c r="D10" s="24"/>
      <c r="E10" s="24"/>
      <c r="F10" s="24"/>
      <c r="G10" s="24"/>
      <c r="H10" s="24"/>
      <c r="I10" s="24"/>
      <c r="J10" s="24"/>
      <c r="K10" s="24"/>
    </row>
    <row r="12" spans="2:11" ht="23.5" x14ac:dyDescent="0.55000000000000004">
      <c r="B12" s="9" t="s">
        <v>9</v>
      </c>
      <c r="C12" s="24" t="s">
        <v>39</v>
      </c>
      <c r="D12" s="24"/>
      <c r="E12" s="24"/>
      <c r="F12" s="24"/>
      <c r="G12" s="24"/>
      <c r="H12" s="24"/>
      <c r="I12" s="24"/>
      <c r="J12" s="24"/>
      <c r="K12" s="24"/>
    </row>
    <row r="13" spans="2:11" ht="28.5" x14ac:dyDescent="0.65">
      <c r="B13" s="10"/>
      <c r="C13"/>
      <c r="D13"/>
      <c r="E13"/>
      <c r="F13"/>
      <c r="G13"/>
      <c r="H13"/>
      <c r="I13"/>
      <c r="J13"/>
      <c r="K13"/>
    </row>
    <row r="14" spans="2:11" ht="23.5" x14ac:dyDescent="0.35">
      <c r="B14" s="11" t="s">
        <v>10</v>
      </c>
      <c r="C14" s="24" t="s">
        <v>40</v>
      </c>
      <c r="D14" s="24"/>
      <c r="E14" s="24"/>
      <c r="F14" s="24"/>
      <c r="G14" s="24"/>
      <c r="H14" s="24"/>
      <c r="I14" s="24"/>
      <c r="J14" s="24"/>
      <c r="K14" s="24"/>
    </row>
    <row r="15" spans="2:11" ht="25.5" customHeight="1" x14ac:dyDescent="0.35"/>
    <row r="16" spans="2:11" ht="23.5" x14ac:dyDescent="0.55000000000000004">
      <c r="B16" s="13" t="s">
        <v>13</v>
      </c>
      <c r="C16" s="1"/>
      <c r="D16" s="2"/>
      <c r="E16"/>
      <c r="F16"/>
      <c r="G16"/>
      <c r="H16"/>
      <c r="I16"/>
      <c r="J16"/>
      <c r="K16"/>
    </row>
    <row r="17" spans="2:11" ht="9.75" customHeight="1" x14ac:dyDescent="0.65">
      <c r="B17" s="10"/>
      <c r="C17" s="1"/>
      <c r="D17" s="2"/>
      <c r="E17"/>
      <c r="F17"/>
      <c r="G17"/>
      <c r="H17"/>
      <c r="I17"/>
      <c r="J17"/>
      <c r="K17"/>
    </row>
    <row r="18" spans="2:11" ht="18.5" x14ac:dyDescent="0.45">
      <c r="B18" s="14" t="s">
        <v>10</v>
      </c>
      <c r="C18" s="24" t="s">
        <v>41</v>
      </c>
      <c r="D18" s="24"/>
      <c r="E18" s="24"/>
      <c r="F18" s="24"/>
      <c r="G18" s="24"/>
      <c r="H18" s="24"/>
      <c r="I18" s="24"/>
      <c r="J18" s="24"/>
      <c r="K18" s="24"/>
    </row>
    <row r="19" spans="2:11" ht="15.5" x14ac:dyDescent="0.35">
      <c r="B19"/>
      <c r="C19" s="15"/>
      <c r="D19" s="15"/>
      <c r="E19" s="15"/>
      <c r="F19" s="15"/>
      <c r="G19" s="15"/>
      <c r="H19" s="15"/>
      <c r="I19" s="15"/>
      <c r="J19" s="15"/>
      <c r="K19" s="15"/>
    </row>
    <row r="20" spans="2:11" ht="18.5" x14ac:dyDescent="0.45">
      <c r="B20" s="14" t="s">
        <v>14</v>
      </c>
      <c r="C20" s="24" t="s">
        <v>37</v>
      </c>
      <c r="D20" s="24"/>
      <c r="E20" s="24"/>
      <c r="F20" s="24"/>
      <c r="G20" s="24"/>
      <c r="H20" s="24"/>
      <c r="I20" s="24"/>
      <c r="J20" s="24"/>
      <c r="K20" s="24"/>
    </row>
    <row r="21" spans="2:11" ht="15.5" x14ac:dyDescent="0.35"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2:11" ht="23.5" x14ac:dyDescent="0.55000000000000004">
      <c r="B22" s="9" t="s">
        <v>9</v>
      </c>
      <c r="C22" s="24" t="s">
        <v>42</v>
      </c>
      <c r="D22" s="24"/>
      <c r="E22" s="24"/>
      <c r="F22" s="24"/>
      <c r="G22" s="24"/>
      <c r="H22" s="24"/>
      <c r="I22" s="24"/>
      <c r="J22" s="24"/>
      <c r="K22" s="24"/>
    </row>
    <row r="23" spans="2:11" ht="28.5" x14ac:dyDescent="0.65">
      <c r="B23" s="10"/>
      <c r="C23"/>
      <c r="D23"/>
      <c r="E23"/>
      <c r="F23"/>
      <c r="G23"/>
      <c r="H23"/>
      <c r="I23"/>
      <c r="J23"/>
      <c r="K23"/>
    </row>
    <row r="24" spans="2:11" ht="23.5" x14ac:dyDescent="0.35">
      <c r="B24" s="11" t="s">
        <v>10</v>
      </c>
      <c r="C24" s="24" t="s">
        <v>43</v>
      </c>
      <c r="D24" s="24"/>
      <c r="E24" s="24"/>
      <c r="F24" s="24"/>
      <c r="G24" s="24"/>
      <c r="H24" s="24"/>
      <c r="I24" s="24"/>
      <c r="J24" s="24"/>
      <c r="K24" s="24"/>
    </row>
    <row r="25" spans="2:11" ht="26.25" customHeight="1" x14ac:dyDescent="0.35"/>
    <row r="26" spans="2:11" ht="23.5" x14ac:dyDescent="0.55000000000000004">
      <c r="B26" s="13" t="s">
        <v>13</v>
      </c>
      <c r="C26" s="1"/>
      <c r="D26" s="2"/>
      <c r="E26"/>
      <c r="F26"/>
      <c r="G26"/>
      <c r="H26"/>
      <c r="I26"/>
      <c r="J26"/>
      <c r="K26"/>
    </row>
    <row r="27" spans="2:11" ht="9.75" customHeight="1" x14ac:dyDescent="0.65">
      <c r="B27" s="10"/>
      <c r="C27" s="1"/>
      <c r="D27" s="2"/>
      <c r="E27"/>
      <c r="F27"/>
      <c r="G27"/>
      <c r="H27"/>
      <c r="I27"/>
      <c r="J27"/>
      <c r="K27"/>
    </row>
    <row r="28" spans="2:11" ht="18.5" x14ac:dyDescent="0.45">
      <c r="B28" s="14" t="s">
        <v>45</v>
      </c>
      <c r="C28" s="24" t="s">
        <v>44</v>
      </c>
      <c r="D28" s="24"/>
      <c r="E28" s="24"/>
      <c r="F28" s="24"/>
      <c r="G28" s="24"/>
      <c r="H28" s="24"/>
      <c r="I28" s="24"/>
      <c r="J28" s="24"/>
      <c r="K28" s="24"/>
    </row>
    <row r="29" spans="2:11" ht="15.5" x14ac:dyDescent="0.35">
      <c r="B29"/>
      <c r="C29" s="15"/>
      <c r="D29" s="15"/>
      <c r="E29" s="15"/>
      <c r="F29" s="15"/>
      <c r="G29" s="15"/>
      <c r="H29" s="15"/>
      <c r="I29" s="15"/>
      <c r="J29" s="15"/>
      <c r="K29" s="15"/>
    </row>
    <row r="30" spans="2:11" ht="18.5" x14ac:dyDescent="0.45">
      <c r="B30" s="14" t="s">
        <v>14</v>
      </c>
      <c r="C30" s="24" t="s">
        <v>38</v>
      </c>
      <c r="D30" s="24"/>
      <c r="E30" s="24"/>
      <c r="F30" s="24"/>
      <c r="G30" s="24"/>
      <c r="H30" s="24"/>
      <c r="I30" s="24"/>
      <c r="J30" s="24"/>
      <c r="K30" s="24"/>
    </row>
    <row r="31" spans="2:11" ht="15.5" x14ac:dyDescent="0.35"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2:11" ht="18.5" x14ac:dyDescent="0.45">
      <c r="B32" s="14" t="s">
        <v>46</v>
      </c>
      <c r="C32" s="24" t="s">
        <v>48</v>
      </c>
      <c r="D32" s="24"/>
      <c r="E32" s="24"/>
      <c r="F32" s="24"/>
      <c r="G32" s="24"/>
      <c r="H32" s="24"/>
      <c r="I32" s="24"/>
      <c r="J32" s="24"/>
      <c r="K32" s="24"/>
    </row>
    <row r="33" spans="2:11" ht="15.5" x14ac:dyDescent="0.35">
      <c r="B33"/>
      <c r="C33" s="15"/>
      <c r="D33" s="15"/>
      <c r="E33" s="15"/>
      <c r="F33" s="15"/>
      <c r="G33" s="15"/>
      <c r="H33" s="15"/>
      <c r="I33" s="15"/>
      <c r="J33" s="15"/>
      <c r="K33" s="15"/>
    </row>
    <row r="34" spans="2:11" ht="18.5" x14ac:dyDescent="0.45">
      <c r="B34" s="14" t="s">
        <v>14</v>
      </c>
      <c r="C34" s="24" t="s">
        <v>47</v>
      </c>
      <c r="D34" s="24"/>
      <c r="E34" s="24"/>
      <c r="F34" s="24"/>
      <c r="G34" s="24"/>
      <c r="H34" s="24"/>
      <c r="I34" s="24"/>
      <c r="J34" s="24"/>
      <c r="K34" s="24"/>
    </row>
    <row r="35" spans="2:11" ht="15.5" x14ac:dyDescent="0.35"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2:11" ht="15.5" x14ac:dyDescent="0.35"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2:11" ht="15.5" x14ac:dyDescent="0.35"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2:11" ht="15.5" x14ac:dyDescent="0.35"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40" spans="2:11" s="16" customFormat="1" ht="48.75" customHeight="1" x14ac:dyDescent="0.45">
      <c r="C40" s="17" t="s">
        <v>27</v>
      </c>
      <c r="E40" s="17" t="s">
        <v>28</v>
      </c>
      <c r="F40" s="17" t="s">
        <v>29</v>
      </c>
      <c r="G40" s="17" t="s">
        <v>30</v>
      </c>
      <c r="H40" s="17" t="s">
        <v>31</v>
      </c>
      <c r="I40" s="18" t="s">
        <v>32</v>
      </c>
    </row>
    <row r="41" spans="2:11" x14ac:dyDescent="0.35">
      <c r="C41" s="20" t="s">
        <v>18</v>
      </c>
      <c r="E41" s="21"/>
      <c r="F41" s="21"/>
      <c r="G41" s="21"/>
      <c r="H41" s="21"/>
      <c r="I41" s="22"/>
    </row>
    <row r="42" spans="2:11" ht="16.5" customHeight="1" x14ac:dyDescent="0.35">
      <c r="C42" s="20" t="s">
        <v>19</v>
      </c>
      <c r="E42" s="21"/>
      <c r="F42" s="21"/>
      <c r="G42" s="21"/>
      <c r="H42" s="21"/>
      <c r="I42" s="22"/>
    </row>
    <row r="43" spans="2:11" x14ac:dyDescent="0.35">
      <c r="C43" s="20" t="s">
        <v>20</v>
      </c>
      <c r="E43" s="21"/>
      <c r="F43" s="21"/>
      <c r="G43" s="21"/>
      <c r="H43" s="21"/>
      <c r="I43" s="22"/>
    </row>
    <row r="44" spans="2:11" x14ac:dyDescent="0.35">
      <c r="C44" s="20" t="s">
        <v>21</v>
      </c>
      <c r="E44" s="21"/>
      <c r="F44" s="21"/>
      <c r="G44" s="21"/>
      <c r="H44" s="21"/>
      <c r="I44" s="22"/>
    </row>
    <row r="45" spans="2:11" x14ac:dyDescent="0.35">
      <c r="C45" s="20" t="s">
        <v>20</v>
      </c>
      <c r="E45" s="21"/>
      <c r="F45" s="21"/>
      <c r="G45" s="21"/>
      <c r="H45" s="21"/>
      <c r="I45" s="22"/>
    </row>
    <row r="46" spans="2:11" x14ac:dyDescent="0.35">
      <c r="C46" s="20" t="s">
        <v>20</v>
      </c>
      <c r="E46" s="21"/>
      <c r="F46" s="21"/>
      <c r="G46" s="21"/>
      <c r="H46" s="21"/>
      <c r="I46" s="22"/>
    </row>
    <row r="47" spans="2:11" x14ac:dyDescent="0.35">
      <c r="C47" s="20" t="s">
        <v>26</v>
      </c>
      <c r="E47" s="21"/>
      <c r="F47" s="21"/>
      <c r="G47" s="21"/>
      <c r="H47" s="21"/>
      <c r="I47" s="22"/>
    </row>
    <row r="48" spans="2:11" x14ac:dyDescent="0.35">
      <c r="C48" s="20" t="s">
        <v>22</v>
      </c>
      <c r="E48" s="21"/>
      <c r="F48" s="21"/>
      <c r="G48" s="21"/>
      <c r="H48" s="21"/>
      <c r="I48" s="22"/>
    </row>
    <row r="49" spans="3:9" x14ac:dyDescent="0.35">
      <c r="C49" s="20" t="s">
        <v>23</v>
      </c>
      <c r="E49" s="21"/>
      <c r="F49" s="21"/>
      <c r="G49" s="21"/>
      <c r="H49" s="21"/>
      <c r="I49" s="22"/>
    </row>
    <row r="50" spans="3:9" x14ac:dyDescent="0.35">
      <c r="C50" s="20" t="s">
        <v>20</v>
      </c>
      <c r="E50" s="21"/>
      <c r="F50" s="21"/>
      <c r="G50" s="21"/>
      <c r="H50" s="21"/>
      <c r="I50" s="22"/>
    </row>
    <row r="51" spans="3:9" x14ac:dyDescent="0.35">
      <c r="C51" s="20" t="s">
        <v>19</v>
      </c>
      <c r="E51" s="21"/>
      <c r="F51" s="21"/>
      <c r="G51" s="21"/>
      <c r="H51" s="21"/>
      <c r="I51" s="22"/>
    </row>
    <row r="52" spans="3:9" x14ac:dyDescent="0.35">
      <c r="C52" s="20" t="s">
        <v>20</v>
      </c>
      <c r="E52" s="21"/>
      <c r="F52" s="21"/>
      <c r="G52" s="21"/>
      <c r="H52" s="21"/>
      <c r="I52" s="22"/>
    </row>
    <row r="53" spans="3:9" x14ac:dyDescent="0.35">
      <c r="C53" s="20" t="s">
        <v>24</v>
      </c>
      <c r="E53" s="21"/>
      <c r="F53" s="21"/>
      <c r="G53" s="21"/>
      <c r="H53" s="21"/>
      <c r="I53" s="22"/>
    </row>
    <row r="54" spans="3:9" x14ac:dyDescent="0.35">
      <c r="C54" s="20" t="s">
        <v>26</v>
      </c>
      <c r="E54" s="21"/>
      <c r="F54" s="21"/>
      <c r="G54" s="21"/>
      <c r="H54" s="21"/>
      <c r="I54" s="22"/>
    </row>
    <row r="55" spans="3:9" x14ac:dyDescent="0.35">
      <c r="C55" s="20" t="s">
        <v>25</v>
      </c>
      <c r="E55" s="21"/>
      <c r="F55" s="21"/>
      <c r="G55" s="21"/>
      <c r="H55" s="21"/>
      <c r="I55" s="22"/>
    </row>
  </sheetData>
  <mergeCells count="14">
    <mergeCell ref="C32:K32"/>
    <mergeCell ref="C34:K34"/>
    <mergeCell ref="C18:K18"/>
    <mergeCell ref="C20:K20"/>
    <mergeCell ref="C22:K22"/>
    <mergeCell ref="C24:K24"/>
    <mergeCell ref="C28:K28"/>
    <mergeCell ref="C30:K30"/>
    <mergeCell ref="C14:K14"/>
    <mergeCell ref="C2:K2"/>
    <mergeCell ref="C4:K4"/>
    <mergeCell ref="C8:K8"/>
    <mergeCell ref="C10:K10"/>
    <mergeCell ref="C12:K12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55"/>
  <sheetViews>
    <sheetView topLeftCell="A16" zoomScaleNormal="100" workbookViewId="0">
      <selection activeCell="I41" sqref="I41"/>
    </sheetView>
  </sheetViews>
  <sheetFormatPr defaultColWidth="11.453125" defaultRowHeight="14.5" x14ac:dyDescent="0.35"/>
  <cols>
    <col min="1" max="1" width="11.453125" style="19"/>
    <col min="2" max="2" width="16.1796875" style="19" customWidth="1"/>
    <col min="3" max="3" width="22.54296875" style="19" customWidth="1"/>
    <col min="4" max="4" width="8.54296875" style="19" customWidth="1"/>
    <col min="5" max="5" width="24.453125" style="19" customWidth="1"/>
    <col min="6" max="6" width="25" style="19" customWidth="1"/>
    <col min="7" max="7" width="14.26953125" style="19" customWidth="1"/>
    <col min="8" max="8" width="23.1796875" style="19" customWidth="1"/>
    <col min="9" max="16384" width="11.453125" style="19"/>
  </cols>
  <sheetData>
    <row r="2" spans="2:11" ht="23.5" x14ac:dyDescent="0.55000000000000004">
      <c r="B2" s="9" t="s">
        <v>9</v>
      </c>
      <c r="C2" s="24" t="s">
        <v>33</v>
      </c>
      <c r="D2" s="24"/>
      <c r="E2" s="24"/>
      <c r="F2" s="24"/>
      <c r="G2" s="24"/>
      <c r="H2" s="24"/>
      <c r="I2" s="24"/>
      <c r="J2" s="24"/>
      <c r="K2" s="24"/>
    </row>
    <row r="3" spans="2:11" ht="28.5" x14ac:dyDescent="0.65">
      <c r="B3" s="10"/>
      <c r="C3"/>
      <c r="D3"/>
      <c r="E3"/>
      <c r="F3"/>
      <c r="G3"/>
      <c r="H3"/>
      <c r="I3"/>
      <c r="J3"/>
      <c r="K3"/>
    </row>
    <row r="4" spans="2:11" ht="23.5" x14ac:dyDescent="0.35">
      <c r="B4" s="11" t="s">
        <v>10</v>
      </c>
      <c r="C4" s="24" t="s">
        <v>34</v>
      </c>
      <c r="D4" s="24"/>
      <c r="E4" s="24"/>
      <c r="F4" s="24"/>
      <c r="G4" s="24"/>
      <c r="H4" s="24"/>
      <c r="I4" s="24"/>
      <c r="J4" s="24"/>
      <c r="K4" s="24"/>
    </row>
    <row r="5" spans="2:11" ht="26.25" customHeight="1" x14ac:dyDescent="0.35"/>
    <row r="6" spans="2:11" ht="23.5" x14ac:dyDescent="0.55000000000000004">
      <c r="B6" s="13" t="s">
        <v>13</v>
      </c>
      <c r="C6" s="1"/>
      <c r="D6" s="2"/>
      <c r="E6"/>
      <c r="F6"/>
      <c r="G6"/>
      <c r="H6"/>
      <c r="I6"/>
      <c r="J6"/>
      <c r="K6"/>
    </row>
    <row r="7" spans="2:11" ht="12.75" customHeight="1" x14ac:dyDescent="0.65">
      <c r="B7" s="10"/>
      <c r="C7" s="1"/>
      <c r="D7" s="2"/>
      <c r="E7"/>
      <c r="F7"/>
      <c r="G7"/>
      <c r="H7"/>
      <c r="I7"/>
      <c r="J7"/>
      <c r="K7"/>
    </row>
    <row r="8" spans="2:11" ht="18.5" x14ac:dyDescent="0.45">
      <c r="B8" s="14" t="s">
        <v>10</v>
      </c>
      <c r="C8" s="24" t="s">
        <v>35</v>
      </c>
      <c r="D8" s="24"/>
      <c r="E8" s="24"/>
      <c r="F8" s="24"/>
      <c r="G8" s="24"/>
      <c r="H8" s="24"/>
      <c r="I8" s="24"/>
      <c r="J8" s="24"/>
      <c r="K8" s="24"/>
    </row>
    <row r="9" spans="2:11" ht="15.5" x14ac:dyDescent="0.35">
      <c r="B9"/>
      <c r="C9" s="15"/>
      <c r="D9" s="15"/>
      <c r="E9" s="15"/>
      <c r="F9" s="15"/>
      <c r="G9" s="15"/>
      <c r="H9" s="15"/>
      <c r="I9" s="15"/>
      <c r="J9" s="15"/>
      <c r="K9" s="15"/>
    </row>
    <row r="10" spans="2:11" ht="18.5" x14ac:dyDescent="0.45">
      <c r="B10" s="14" t="s">
        <v>14</v>
      </c>
      <c r="C10" s="24" t="s">
        <v>36</v>
      </c>
      <c r="D10" s="24"/>
      <c r="E10" s="24"/>
      <c r="F10" s="24"/>
      <c r="G10" s="24"/>
      <c r="H10" s="24"/>
      <c r="I10" s="24"/>
      <c r="J10" s="24"/>
      <c r="K10" s="24"/>
    </row>
    <row r="12" spans="2:11" ht="23.5" x14ac:dyDescent="0.55000000000000004">
      <c r="B12" s="9" t="s">
        <v>9</v>
      </c>
      <c r="C12" s="24" t="s">
        <v>39</v>
      </c>
      <c r="D12" s="24"/>
      <c r="E12" s="24"/>
      <c r="F12" s="24"/>
      <c r="G12" s="24"/>
      <c r="H12" s="24"/>
      <c r="I12" s="24"/>
      <c r="J12" s="24"/>
      <c r="K12" s="24"/>
    </row>
    <row r="13" spans="2:11" ht="28.5" x14ac:dyDescent="0.65">
      <c r="B13" s="10"/>
      <c r="C13"/>
      <c r="D13"/>
      <c r="E13"/>
      <c r="F13"/>
      <c r="G13"/>
      <c r="H13"/>
      <c r="I13"/>
      <c r="J13"/>
      <c r="K13"/>
    </row>
    <row r="14" spans="2:11" ht="23.5" x14ac:dyDescent="0.35">
      <c r="B14" s="11" t="s">
        <v>10</v>
      </c>
      <c r="C14" s="24" t="s">
        <v>40</v>
      </c>
      <c r="D14" s="24"/>
      <c r="E14" s="24"/>
      <c r="F14" s="24"/>
      <c r="G14" s="24"/>
      <c r="H14" s="24"/>
      <c r="I14" s="24"/>
      <c r="J14" s="24"/>
      <c r="K14" s="24"/>
    </row>
    <row r="15" spans="2:11" ht="25.5" customHeight="1" x14ac:dyDescent="0.35"/>
    <row r="16" spans="2:11" ht="23.5" x14ac:dyDescent="0.55000000000000004">
      <c r="B16" s="13" t="s">
        <v>13</v>
      </c>
      <c r="C16" s="1"/>
      <c r="D16" s="2"/>
      <c r="E16"/>
      <c r="F16"/>
      <c r="G16"/>
      <c r="H16"/>
      <c r="I16"/>
      <c r="J16"/>
      <c r="K16"/>
    </row>
    <row r="17" spans="2:11" ht="9.75" customHeight="1" x14ac:dyDescent="0.65">
      <c r="B17" s="10"/>
      <c r="C17" s="1"/>
      <c r="D17" s="2"/>
      <c r="E17"/>
      <c r="F17"/>
      <c r="G17"/>
      <c r="H17"/>
      <c r="I17"/>
      <c r="J17"/>
      <c r="K17"/>
    </row>
    <row r="18" spans="2:11" ht="18.5" x14ac:dyDescent="0.45">
      <c r="B18" s="14" t="s">
        <v>10</v>
      </c>
      <c r="C18" s="24" t="s">
        <v>41</v>
      </c>
      <c r="D18" s="24"/>
      <c r="E18" s="24"/>
      <c r="F18" s="24"/>
      <c r="G18" s="24"/>
      <c r="H18" s="24"/>
      <c r="I18" s="24"/>
      <c r="J18" s="24"/>
      <c r="K18" s="24"/>
    </row>
    <row r="19" spans="2:11" ht="15.5" x14ac:dyDescent="0.35">
      <c r="B19"/>
      <c r="C19" s="15"/>
      <c r="D19" s="15"/>
      <c r="E19" s="15"/>
      <c r="F19" s="15"/>
      <c r="G19" s="15"/>
      <c r="H19" s="15"/>
      <c r="I19" s="15"/>
      <c r="J19" s="15"/>
      <c r="K19" s="15"/>
    </row>
    <row r="20" spans="2:11" ht="18.5" x14ac:dyDescent="0.45">
      <c r="B20" s="14" t="s">
        <v>14</v>
      </c>
      <c r="C20" s="24" t="s">
        <v>37</v>
      </c>
      <c r="D20" s="24"/>
      <c r="E20" s="24"/>
      <c r="F20" s="24"/>
      <c r="G20" s="24"/>
      <c r="H20" s="24"/>
      <c r="I20" s="24"/>
      <c r="J20" s="24"/>
      <c r="K20" s="24"/>
    </row>
    <row r="21" spans="2:11" ht="15.5" x14ac:dyDescent="0.35"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2:11" ht="23.5" x14ac:dyDescent="0.55000000000000004">
      <c r="B22" s="9" t="s">
        <v>9</v>
      </c>
      <c r="C22" s="24" t="s">
        <v>42</v>
      </c>
      <c r="D22" s="24"/>
      <c r="E22" s="24"/>
      <c r="F22" s="24"/>
      <c r="G22" s="24"/>
      <c r="H22" s="24"/>
      <c r="I22" s="24"/>
      <c r="J22" s="24"/>
      <c r="K22" s="24"/>
    </row>
    <row r="23" spans="2:11" ht="28.5" x14ac:dyDescent="0.65">
      <c r="B23" s="10"/>
      <c r="C23"/>
      <c r="D23"/>
      <c r="E23"/>
      <c r="F23"/>
      <c r="G23"/>
      <c r="H23"/>
      <c r="I23"/>
      <c r="J23"/>
      <c r="K23"/>
    </row>
    <row r="24" spans="2:11" ht="23.5" x14ac:dyDescent="0.35">
      <c r="B24" s="11" t="s">
        <v>10</v>
      </c>
      <c r="C24" s="24" t="s">
        <v>43</v>
      </c>
      <c r="D24" s="24"/>
      <c r="E24" s="24"/>
      <c r="F24" s="24"/>
      <c r="G24" s="24"/>
      <c r="H24" s="24"/>
      <c r="I24" s="24"/>
      <c r="J24" s="24"/>
      <c r="K24" s="24"/>
    </row>
    <row r="25" spans="2:11" ht="26.25" customHeight="1" x14ac:dyDescent="0.35"/>
    <row r="26" spans="2:11" ht="23.5" x14ac:dyDescent="0.55000000000000004">
      <c r="B26" s="13" t="s">
        <v>13</v>
      </c>
      <c r="C26" s="1"/>
      <c r="D26" s="2"/>
      <c r="E26"/>
      <c r="F26"/>
      <c r="G26"/>
      <c r="H26"/>
      <c r="I26"/>
      <c r="J26"/>
      <c r="K26"/>
    </row>
    <row r="27" spans="2:11" ht="9.75" customHeight="1" x14ac:dyDescent="0.65">
      <c r="B27" s="10"/>
      <c r="C27" s="1"/>
      <c r="D27" s="2"/>
      <c r="E27"/>
      <c r="F27"/>
      <c r="G27"/>
      <c r="H27"/>
      <c r="I27"/>
      <c r="J27"/>
      <c r="K27"/>
    </row>
    <row r="28" spans="2:11" ht="18.5" x14ac:dyDescent="0.45">
      <c r="B28" s="14" t="s">
        <v>45</v>
      </c>
      <c r="C28" s="24" t="s">
        <v>44</v>
      </c>
      <c r="D28" s="24"/>
      <c r="E28" s="24"/>
      <c r="F28" s="24"/>
      <c r="G28" s="24"/>
      <c r="H28" s="24"/>
      <c r="I28" s="24"/>
      <c r="J28" s="24"/>
      <c r="K28" s="24"/>
    </row>
    <row r="29" spans="2:11" ht="15.5" x14ac:dyDescent="0.35">
      <c r="B29"/>
      <c r="C29" s="15"/>
      <c r="D29" s="15"/>
      <c r="E29" s="15"/>
      <c r="F29" s="15"/>
      <c r="G29" s="15"/>
      <c r="H29" s="15"/>
      <c r="I29" s="15"/>
      <c r="J29" s="15"/>
      <c r="K29" s="15"/>
    </row>
    <row r="30" spans="2:11" ht="18.5" x14ac:dyDescent="0.45">
      <c r="B30" s="14" t="s">
        <v>14</v>
      </c>
      <c r="C30" s="24" t="s">
        <v>38</v>
      </c>
      <c r="D30" s="24"/>
      <c r="E30" s="24"/>
      <c r="F30" s="24"/>
      <c r="G30" s="24"/>
      <c r="H30" s="24"/>
      <c r="I30" s="24"/>
      <c r="J30" s="24"/>
      <c r="K30" s="24"/>
    </row>
    <row r="31" spans="2:11" ht="15.5" x14ac:dyDescent="0.35"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2:11" ht="18.5" x14ac:dyDescent="0.45">
      <c r="B32" s="14" t="s">
        <v>46</v>
      </c>
      <c r="C32" s="24" t="s">
        <v>48</v>
      </c>
      <c r="D32" s="24"/>
      <c r="E32" s="24"/>
      <c r="F32" s="24"/>
      <c r="G32" s="24"/>
      <c r="H32" s="24"/>
      <c r="I32" s="24"/>
      <c r="J32" s="24"/>
      <c r="K32" s="24"/>
    </row>
    <row r="33" spans="2:11" ht="15.5" x14ac:dyDescent="0.35">
      <c r="B33"/>
      <c r="C33" s="15"/>
      <c r="D33" s="15"/>
      <c r="E33" s="15"/>
      <c r="F33" s="15"/>
      <c r="G33" s="15"/>
      <c r="H33" s="15"/>
      <c r="I33" s="15"/>
      <c r="J33" s="15"/>
      <c r="K33" s="15"/>
    </row>
    <row r="34" spans="2:11" ht="18.5" x14ac:dyDescent="0.45">
      <c r="B34" s="14" t="s">
        <v>14</v>
      </c>
      <c r="C34" s="24" t="s">
        <v>47</v>
      </c>
      <c r="D34" s="24"/>
      <c r="E34" s="24"/>
      <c r="F34" s="24"/>
      <c r="G34" s="24"/>
      <c r="H34" s="24"/>
      <c r="I34" s="24"/>
      <c r="J34" s="24"/>
      <c r="K34" s="24"/>
    </row>
    <row r="35" spans="2:11" ht="15.5" x14ac:dyDescent="0.35"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2:11" ht="15.5" x14ac:dyDescent="0.35">
      <c r="B36" s="15"/>
      <c r="C36" s="15"/>
      <c r="D36" s="15"/>
      <c r="E36" s="15"/>
      <c r="F36" s="15"/>
      <c r="G36" s="15"/>
      <c r="H36" s="15"/>
      <c r="I36" s="15"/>
      <c r="J36" s="15"/>
      <c r="K36" s="15"/>
    </row>
    <row r="37" spans="2:11" ht="15.5" x14ac:dyDescent="0.35">
      <c r="B37" s="15"/>
      <c r="C37" s="15"/>
      <c r="D37" s="15"/>
      <c r="E37" s="15"/>
      <c r="F37" s="15"/>
      <c r="G37" s="15"/>
      <c r="H37" s="15"/>
      <c r="I37" s="15"/>
      <c r="J37" s="15"/>
      <c r="K37" s="15"/>
    </row>
    <row r="38" spans="2:11" ht="15.5" x14ac:dyDescent="0.35">
      <c r="B38" s="15"/>
      <c r="C38" s="15"/>
      <c r="D38" s="15"/>
      <c r="E38" s="15"/>
      <c r="F38" s="15"/>
      <c r="G38" s="15"/>
      <c r="H38" s="15"/>
      <c r="I38" s="15"/>
      <c r="J38" s="15"/>
      <c r="K38" s="15"/>
    </row>
    <row r="40" spans="2:11" s="16" customFormat="1" ht="48.75" customHeight="1" x14ac:dyDescent="0.45">
      <c r="C40" s="17" t="s">
        <v>27</v>
      </c>
      <c r="E40" s="17" t="s">
        <v>28</v>
      </c>
      <c r="F40" s="17" t="s">
        <v>29</v>
      </c>
      <c r="G40" s="17" t="s">
        <v>30</v>
      </c>
      <c r="H40" s="17" t="s">
        <v>31</v>
      </c>
      <c r="I40" s="18" t="s">
        <v>32</v>
      </c>
    </row>
    <row r="41" spans="2:11" x14ac:dyDescent="0.35">
      <c r="C41" s="20" t="s">
        <v>18</v>
      </c>
      <c r="E41" s="21">
        <f>FIND(" ",C41)</f>
        <v>3</v>
      </c>
      <c r="F41" s="21" t="str">
        <f>MID(C41,1,E41-1)</f>
        <v>45</v>
      </c>
      <c r="G41" s="21">
        <f t="shared" ref="G41:G55" si="0">LEN(C41)</f>
        <v>10</v>
      </c>
      <c r="H41" s="21" t="str">
        <f t="shared" ref="H41:H55" si="1">MID(C41,E41+1,G41-E41)</f>
        <v>minutes</v>
      </c>
      <c r="I41" s="22">
        <f t="shared" ref="I41:I55" si="2">IF(OR(H41="hour",H41="hours"),F41*1,IF(H41="minutes",F41/60,))</f>
        <v>0.75</v>
      </c>
    </row>
    <row r="42" spans="2:11" ht="16.5" customHeight="1" x14ac:dyDescent="0.35">
      <c r="C42" s="20" t="s">
        <v>19</v>
      </c>
      <c r="E42" s="21">
        <f t="shared" ref="E42:E55" si="3">FIND(" ",C42)</f>
        <v>2</v>
      </c>
      <c r="F42" s="21" t="str">
        <f t="shared" ref="F42:F55" si="4">MID(C42,1,E42-1)</f>
        <v>1</v>
      </c>
      <c r="G42" s="21">
        <f t="shared" si="0"/>
        <v>6</v>
      </c>
      <c r="H42" s="21" t="str">
        <f t="shared" si="1"/>
        <v>hour</v>
      </c>
      <c r="I42" s="22">
        <f t="shared" si="2"/>
        <v>1</v>
      </c>
    </row>
    <row r="43" spans="2:11" x14ac:dyDescent="0.35">
      <c r="C43" s="20" t="s">
        <v>20</v>
      </c>
      <c r="E43" s="21">
        <f t="shared" si="3"/>
        <v>4</v>
      </c>
      <c r="F43" s="21" t="str">
        <f t="shared" si="4"/>
        <v>1,5</v>
      </c>
      <c r="G43" s="21">
        <f t="shared" si="0"/>
        <v>9</v>
      </c>
      <c r="H43" s="21" t="str">
        <f t="shared" si="1"/>
        <v>hours</v>
      </c>
      <c r="I43" s="22">
        <f t="shared" si="2"/>
        <v>1.5</v>
      </c>
    </row>
    <row r="44" spans="2:11" x14ac:dyDescent="0.35">
      <c r="C44" s="20" t="s">
        <v>21</v>
      </c>
      <c r="E44" s="21">
        <f t="shared" si="3"/>
        <v>3</v>
      </c>
      <c r="F44" s="21" t="str">
        <f t="shared" si="4"/>
        <v>25</v>
      </c>
      <c r="G44" s="21">
        <f t="shared" si="0"/>
        <v>8</v>
      </c>
      <c r="H44" s="21" t="str">
        <f t="shared" si="1"/>
        <v>hours</v>
      </c>
      <c r="I44" s="22">
        <f t="shared" si="2"/>
        <v>25</v>
      </c>
    </row>
    <row r="45" spans="2:11" x14ac:dyDescent="0.35">
      <c r="C45" s="20" t="s">
        <v>20</v>
      </c>
      <c r="E45" s="21">
        <f t="shared" si="3"/>
        <v>4</v>
      </c>
      <c r="F45" s="21" t="str">
        <f t="shared" si="4"/>
        <v>1,5</v>
      </c>
      <c r="G45" s="21">
        <f t="shared" si="0"/>
        <v>9</v>
      </c>
      <c r="H45" s="21" t="str">
        <f t="shared" si="1"/>
        <v>hours</v>
      </c>
      <c r="I45" s="22">
        <f t="shared" si="2"/>
        <v>1.5</v>
      </c>
    </row>
    <row r="46" spans="2:11" x14ac:dyDescent="0.35">
      <c r="C46" s="20" t="s">
        <v>20</v>
      </c>
      <c r="E46" s="21">
        <f t="shared" si="3"/>
        <v>4</v>
      </c>
      <c r="F46" s="21" t="str">
        <f t="shared" si="4"/>
        <v>1,5</v>
      </c>
      <c r="G46" s="21">
        <f t="shared" si="0"/>
        <v>9</v>
      </c>
      <c r="H46" s="21" t="str">
        <f t="shared" si="1"/>
        <v>hours</v>
      </c>
      <c r="I46" s="22">
        <f t="shared" si="2"/>
        <v>1.5</v>
      </c>
    </row>
    <row r="47" spans="2:11" x14ac:dyDescent="0.35">
      <c r="C47" s="20" t="s">
        <v>26</v>
      </c>
      <c r="E47" s="21">
        <f t="shared" si="3"/>
        <v>3</v>
      </c>
      <c r="F47" s="21" t="str">
        <f t="shared" si="4"/>
        <v>30</v>
      </c>
      <c r="G47" s="21">
        <f t="shared" si="0"/>
        <v>10</v>
      </c>
      <c r="H47" s="21" t="str">
        <f t="shared" si="1"/>
        <v>minutes</v>
      </c>
      <c r="I47" s="22">
        <f t="shared" si="2"/>
        <v>0.5</v>
      </c>
    </row>
    <row r="48" spans="2:11" x14ac:dyDescent="0.35">
      <c r="C48" s="20" t="s">
        <v>22</v>
      </c>
      <c r="E48" s="21">
        <f t="shared" si="3"/>
        <v>2</v>
      </c>
      <c r="F48" s="21" t="str">
        <f t="shared" si="4"/>
        <v>5</v>
      </c>
      <c r="G48" s="21">
        <f t="shared" si="0"/>
        <v>7</v>
      </c>
      <c r="H48" s="21" t="str">
        <f t="shared" si="1"/>
        <v>hours</v>
      </c>
      <c r="I48" s="22">
        <f t="shared" si="2"/>
        <v>5</v>
      </c>
    </row>
    <row r="49" spans="3:9" x14ac:dyDescent="0.35">
      <c r="C49" s="20" t="s">
        <v>23</v>
      </c>
      <c r="E49" s="21">
        <f t="shared" si="3"/>
        <v>4</v>
      </c>
      <c r="F49" s="21" t="str">
        <f t="shared" si="4"/>
        <v>3,5</v>
      </c>
      <c r="G49" s="21">
        <f t="shared" si="0"/>
        <v>9</v>
      </c>
      <c r="H49" s="21" t="str">
        <f t="shared" si="1"/>
        <v>hours</v>
      </c>
      <c r="I49" s="22">
        <f t="shared" si="2"/>
        <v>3.5</v>
      </c>
    </row>
    <row r="50" spans="3:9" x14ac:dyDescent="0.35">
      <c r="C50" s="20" t="s">
        <v>20</v>
      </c>
      <c r="E50" s="21">
        <f t="shared" si="3"/>
        <v>4</v>
      </c>
      <c r="F50" s="21" t="str">
        <f t="shared" si="4"/>
        <v>1,5</v>
      </c>
      <c r="G50" s="21">
        <f t="shared" si="0"/>
        <v>9</v>
      </c>
      <c r="H50" s="21" t="str">
        <f t="shared" si="1"/>
        <v>hours</v>
      </c>
      <c r="I50" s="22">
        <f t="shared" si="2"/>
        <v>1.5</v>
      </c>
    </row>
    <row r="51" spans="3:9" x14ac:dyDescent="0.35">
      <c r="C51" s="20" t="s">
        <v>19</v>
      </c>
      <c r="E51" s="21">
        <f t="shared" si="3"/>
        <v>2</v>
      </c>
      <c r="F51" s="21" t="str">
        <f t="shared" si="4"/>
        <v>1</v>
      </c>
      <c r="G51" s="21">
        <f t="shared" si="0"/>
        <v>6</v>
      </c>
      <c r="H51" s="21" t="str">
        <f t="shared" si="1"/>
        <v>hour</v>
      </c>
      <c r="I51" s="22">
        <f t="shared" si="2"/>
        <v>1</v>
      </c>
    </row>
    <row r="52" spans="3:9" x14ac:dyDescent="0.35">
      <c r="C52" s="20" t="s">
        <v>20</v>
      </c>
      <c r="E52" s="21">
        <f t="shared" si="3"/>
        <v>4</v>
      </c>
      <c r="F52" s="21" t="str">
        <f t="shared" si="4"/>
        <v>1,5</v>
      </c>
      <c r="G52" s="21">
        <f t="shared" si="0"/>
        <v>9</v>
      </c>
      <c r="H52" s="21" t="str">
        <f t="shared" si="1"/>
        <v>hours</v>
      </c>
      <c r="I52" s="22">
        <f t="shared" si="2"/>
        <v>1.5</v>
      </c>
    </row>
    <row r="53" spans="3:9" x14ac:dyDescent="0.35">
      <c r="C53" s="20" t="s">
        <v>24</v>
      </c>
      <c r="E53" s="21">
        <f t="shared" si="3"/>
        <v>4</v>
      </c>
      <c r="F53" s="21" t="str">
        <f t="shared" si="4"/>
        <v>9,5</v>
      </c>
      <c r="G53" s="21">
        <f t="shared" si="0"/>
        <v>9</v>
      </c>
      <c r="H53" s="21" t="str">
        <f t="shared" si="1"/>
        <v>hours</v>
      </c>
      <c r="I53" s="22">
        <f t="shared" si="2"/>
        <v>9.5</v>
      </c>
    </row>
    <row r="54" spans="3:9" x14ac:dyDescent="0.35">
      <c r="C54" s="20" t="s">
        <v>26</v>
      </c>
      <c r="E54" s="21">
        <f t="shared" si="3"/>
        <v>3</v>
      </c>
      <c r="F54" s="21" t="str">
        <f t="shared" si="4"/>
        <v>30</v>
      </c>
      <c r="G54" s="21">
        <f t="shared" si="0"/>
        <v>10</v>
      </c>
      <c r="H54" s="21" t="str">
        <f t="shared" si="1"/>
        <v>minutes</v>
      </c>
      <c r="I54" s="22">
        <f t="shared" si="2"/>
        <v>0.5</v>
      </c>
    </row>
    <row r="55" spans="3:9" x14ac:dyDescent="0.35">
      <c r="C55" s="20" t="s">
        <v>25</v>
      </c>
      <c r="E55" s="21">
        <f t="shared" si="3"/>
        <v>2</v>
      </c>
      <c r="F55" s="21" t="str">
        <f t="shared" si="4"/>
        <v>2</v>
      </c>
      <c r="G55" s="21">
        <f t="shared" si="0"/>
        <v>7</v>
      </c>
      <c r="H55" s="21" t="str">
        <f t="shared" si="1"/>
        <v>hours</v>
      </c>
      <c r="I55" s="22">
        <f t="shared" si="2"/>
        <v>2</v>
      </c>
    </row>
  </sheetData>
  <mergeCells count="14">
    <mergeCell ref="C30:K30"/>
    <mergeCell ref="C28:K28"/>
    <mergeCell ref="C32:K32"/>
    <mergeCell ref="C34:K34"/>
    <mergeCell ref="C14:K14"/>
    <mergeCell ref="C20:K20"/>
    <mergeCell ref="C22:K22"/>
    <mergeCell ref="C24:K24"/>
    <mergeCell ref="C18:K18"/>
    <mergeCell ref="C2:K2"/>
    <mergeCell ref="C4:K4"/>
    <mergeCell ref="C8:K8"/>
    <mergeCell ref="C10:K10"/>
    <mergeCell ref="C12:K12"/>
  </mergeCell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073E82C5C590418396DC255F0DC745" ma:contentTypeVersion="13" ma:contentTypeDescription="Crear nuevo documento." ma:contentTypeScope="" ma:versionID="7d5f230db50da0a02171c3e18d7897cf">
  <xsd:schema xmlns:xsd="http://www.w3.org/2001/XMLSchema" xmlns:xs="http://www.w3.org/2001/XMLSchema" xmlns:p="http://schemas.microsoft.com/office/2006/metadata/properties" xmlns:ns2="76c91d98-7809-481a-a1ac-bd62ec4f59fb" xmlns:ns3="85e6ab8e-cbd2-4a96-93f4-452498ebce46" targetNamespace="http://schemas.microsoft.com/office/2006/metadata/properties" ma:root="true" ma:fieldsID="9c40cd1b29989cc5d6495f5265c0bcf2" ns2:_="" ns3:_="">
    <xsd:import namespace="76c91d98-7809-481a-a1ac-bd62ec4f59fb"/>
    <xsd:import namespace="85e6ab8e-cbd2-4a96-93f4-452498ebce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91d98-7809-481a-a1ac-bd62ec4f5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887da879-9240-4ca9-a76a-392843ffc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6ab8e-cbd2-4a96-93f4-452498ebce4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42c2357-5418-49b8-991f-f5c8b07a19d6}" ma:internalName="TaxCatchAll" ma:showField="CatchAllData" ma:web="85e6ab8e-cbd2-4a96-93f4-452498ebce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8FEB8-A622-4A74-B641-369390972F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7C2023-1BA3-44AA-810F-D23A1566D1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Content</vt:lpstr>
      <vt:lpstr>CONCATENATE_RAW</vt:lpstr>
      <vt:lpstr>CONCATENATE_SOLVED</vt:lpstr>
      <vt:lpstr>E1_RAW</vt:lpstr>
      <vt:lpstr>E1_SOLVED</vt:lpstr>
      <vt:lpstr>CONCATENATE_RAW!CONTOSO</vt:lpstr>
      <vt:lpstr>CONTOSO</vt:lpstr>
      <vt:lpstr>CONCATENATE_RAW!Edad_Media_Empleados</vt:lpstr>
      <vt:lpstr>Edad_Media_Empleados</vt:lpstr>
      <vt:lpstr>CONCATENATE_RAW!Empresa</vt:lpstr>
      <vt:lpstr>Empresa</vt:lpstr>
      <vt:lpstr>CONCATENATE_RAW!Mujeres</vt:lpstr>
      <vt:lpstr>Mujeres</vt:lpstr>
      <vt:lpstr>CONCATENATE_RAW!Nº_Empleados</vt:lpstr>
      <vt:lpstr>Nº_Empleados</vt:lpstr>
    </vt:vector>
  </TitlesOfParts>
  <Company>Microsoft Innovation Productivity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Hernanz</dc:creator>
  <cp:lastModifiedBy>Xavier Hernanz</cp:lastModifiedBy>
  <dcterms:created xsi:type="dcterms:W3CDTF">2012-08-30T11:48:47Z</dcterms:created>
  <dcterms:modified xsi:type="dcterms:W3CDTF">2022-09-27T06:23:53Z</dcterms:modified>
</cp:coreProperties>
</file>