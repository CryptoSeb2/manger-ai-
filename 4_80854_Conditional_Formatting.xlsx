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binary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Data/itemProps1.xml" ContentType="application/vnd.ms-excel.customData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3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drawings/drawing4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5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iconline.sharepoint.com/sites/2209EADAConsumerApps/Documentos compartidos/General/Materiales/MIC MATERIAL 2022-23/EXCEL/Session4/"/>
    </mc:Choice>
  </mc:AlternateContent>
  <xr:revisionPtr revIDLastSave="11" documentId="11_764B356FB813000B4BC4B66FEAF2EF93AD5ECAAC" xr6:coauthVersionLast="47" xr6:coauthVersionMax="47" xr10:uidLastSave="{36792BEE-1412-4ECD-A608-216A62FF46D1}"/>
  <bookViews>
    <workbookView minimized="1" xWindow="5865" yWindow="-21600" windowWidth="35250" windowHeight="21000" tabRatio="822" activeTab="6" xr2:uid="{00000000-000D-0000-FFFF-FFFF00000000}"/>
  </bookViews>
  <sheets>
    <sheet name="Content" sheetId="51" r:id="rId1"/>
    <sheet name="Why" sheetId="33" r:id="rId2"/>
    <sheet name="CF Definition" sheetId="52" r:id="rId3"/>
    <sheet name="CF1_RAW" sheetId="10" r:id="rId4"/>
    <sheet name="CF1_SOLVED" sheetId="57" r:id="rId5"/>
    <sheet name="CF2_RAW" sheetId="60" r:id="rId6"/>
    <sheet name="CF2_SOLVED" sheetId="59" r:id="rId7"/>
    <sheet name="CF4_RAW" sheetId="67" r:id="rId8"/>
    <sheet name="CF4_SOLVED" sheetId="3" r:id="rId9"/>
    <sheet name="Formato Condicional2_Solved" sheetId="43" state="hidden" r:id="rId10"/>
    <sheet name="Find Duplicates_RAW" sheetId="53" r:id="rId11"/>
    <sheet name="Find Duplicates_SOLVED" sheetId="62" r:id="rId12"/>
    <sheet name="Conflicting Rules_RAW" sheetId="55" r:id="rId13"/>
    <sheet name="Conflicting Rules_SOLVED" sheetId="65" r:id="rId14"/>
    <sheet name="Spark Lines" sheetId="49" r:id="rId15"/>
    <sheet name="EXERCISE" sheetId="64" r:id="rId16"/>
    <sheet name="CheckList_SOLVED" sheetId="56" state="hidden" r:id="rId17"/>
    <sheet name="what if" sheetId="15" state="hidden" r:id="rId18"/>
    <sheet name="What if2" sheetId="16" state="hidden" r:id="rId19"/>
  </sheets>
  <externalReferences>
    <externalReference r:id="rId20"/>
  </externalReferences>
  <definedNames>
    <definedName name="Listas_Estados">#REF!</definedName>
    <definedName name="Tipo_Estados">'[1]Formato Condicional1_Solved'!$L$5:$L$7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5" i="52" l="1"/>
  <c r="E64" i="52"/>
  <c r="E63" i="52"/>
  <c r="E62" i="52"/>
  <c r="E61" i="52"/>
  <c r="E60" i="52"/>
  <c r="E59" i="52"/>
  <c r="E58" i="52"/>
  <c r="E57" i="52"/>
  <c r="E56" i="52"/>
  <c r="E55" i="52"/>
  <c r="E54" i="52"/>
  <c r="E53" i="52"/>
  <c r="E52" i="52"/>
  <c r="E51" i="52"/>
  <c r="E50" i="52"/>
  <c r="E49" i="52"/>
  <c r="E48" i="52"/>
  <c r="E44" i="52"/>
  <c r="E43" i="52"/>
  <c r="E42" i="52"/>
  <c r="E41" i="52"/>
  <c r="E40" i="52"/>
  <c r="E39" i="52"/>
  <c r="E38" i="52"/>
  <c r="E37" i="52"/>
  <c r="E36" i="52"/>
  <c r="E35" i="52"/>
  <c r="E34" i="52"/>
  <c r="E33" i="52"/>
  <c r="E32" i="52"/>
  <c r="E31" i="52"/>
  <c r="E30" i="52"/>
  <c r="E29" i="52"/>
  <c r="E28" i="52"/>
  <c r="E27" i="52"/>
  <c r="J35" i="3" l="1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E26" i="60"/>
  <c r="I26" i="60" s="1"/>
  <c r="E25" i="60"/>
  <c r="I25" i="60" s="1"/>
  <c r="E24" i="60"/>
  <c r="I24" i="60" s="1"/>
  <c r="I23" i="60"/>
  <c r="E23" i="60"/>
  <c r="E22" i="60"/>
  <c r="I22" i="60" s="1"/>
  <c r="E21" i="60"/>
  <c r="I21" i="60" s="1"/>
  <c r="E20" i="60"/>
  <c r="I20" i="60" s="1"/>
  <c r="E19" i="60"/>
  <c r="I19" i="60" s="1"/>
  <c r="E18" i="60"/>
  <c r="I18" i="60" s="1"/>
  <c r="E17" i="60"/>
  <c r="I17" i="60" s="1"/>
  <c r="E16" i="60"/>
  <c r="I16" i="60" s="1"/>
  <c r="E15" i="60"/>
  <c r="I15" i="60" s="1"/>
  <c r="I14" i="60"/>
  <c r="E14" i="60"/>
  <c r="I13" i="60"/>
  <c r="E13" i="60"/>
  <c r="E12" i="60"/>
  <c r="I12" i="60" s="1"/>
  <c r="E11" i="60"/>
  <c r="I11" i="60" s="1"/>
  <c r="E10" i="60"/>
  <c r="I10" i="60" s="1"/>
  <c r="E9" i="60"/>
  <c r="I9" i="60" s="1"/>
  <c r="E26" i="59"/>
  <c r="I26" i="59" s="1"/>
  <c r="E25" i="59"/>
  <c r="I25" i="59" s="1"/>
  <c r="E24" i="59"/>
  <c r="I24" i="59" s="1"/>
  <c r="I23" i="59"/>
  <c r="E23" i="59"/>
  <c r="E22" i="59"/>
  <c r="I22" i="59" s="1"/>
  <c r="E21" i="59"/>
  <c r="I21" i="59" s="1"/>
  <c r="E20" i="59"/>
  <c r="I20" i="59" s="1"/>
  <c r="E19" i="59"/>
  <c r="I19" i="59" s="1"/>
  <c r="E18" i="59"/>
  <c r="I18" i="59" s="1"/>
  <c r="E17" i="59"/>
  <c r="I17" i="59" s="1"/>
  <c r="E16" i="59"/>
  <c r="I16" i="59" s="1"/>
  <c r="E15" i="59"/>
  <c r="I15" i="59" s="1"/>
  <c r="I14" i="59"/>
  <c r="E14" i="59"/>
  <c r="I13" i="59"/>
  <c r="E13" i="59"/>
  <c r="E12" i="59"/>
  <c r="I12" i="59" s="1"/>
  <c r="E11" i="59"/>
  <c r="I11" i="59" s="1"/>
  <c r="E10" i="59"/>
  <c r="I10" i="59" s="1"/>
  <c r="E9" i="59"/>
  <c r="I9" i="59" s="1"/>
  <c r="E26" i="57"/>
  <c r="I26" i="57" s="1"/>
  <c r="E25" i="57"/>
  <c r="I25" i="57" s="1"/>
  <c r="E24" i="57"/>
  <c r="I24" i="57" s="1"/>
  <c r="I23" i="57"/>
  <c r="E23" i="57"/>
  <c r="E22" i="57"/>
  <c r="I22" i="57" s="1"/>
  <c r="E21" i="57"/>
  <c r="I21" i="57" s="1"/>
  <c r="E20" i="57"/>
  <c r="I20" i="57" s="1"/>
  <c r="E19" i="57"/>
  <c r="I19" i="57" s="1"/>
  <c r="E18" i="57"/>
  <c r="I18" i="57" s="1"/>
  <c r="E17" i="57"/>
  <c r="I17" i="57" s="1"/>
  <c r="E16" i="57"/>
  <c r="I16" i="57" s="1"/>
  <c r="E15" i="57"/>
  <c r="I15" i="57" s="1"/>
  <c r="I14" i="57"/>
  <c r="E14" i="57"/>
  <c r="I13" i="57"/>
  <c r="E13" i="57"/>
  <c r="E12" i="57"/>
  <c r="I12" i="57" s="1"/>
  <c r="E11" i="57"/>
  <c r="I11" i="57" s="1"/>
  <c r="E10" i="57"/>
  <c r="I10" i="57" s="1"/>
  <c r="E9" i="57"/>
  <c r="I9" i="57" s="1"/>
  <c r="C22" i="56"/>
  <c r="C23" i="56"/>
  <c r="C26" i="56" s="1"/>
  <c r="E23" i="52" l="1"/>
  <c r="E22" i="52"/>
  <c r="E21" i="52"/>
  <c r="E20" i="52"/>
  <c r="E19" i="52"/>
  <c r="E18" i="52"/>
  <c r="E17" i="52"/>
  <c r="E16" i="52"/>
  <c r="E15" i="52"/>
  <c r="E14" i="52"/>
  <c r="E13" i="52"/>
  <c r="E12" i="52"/>
  <c r="E11" i="52"/>
  <c r="E10" i="52"/>
  <c r="E9" i="52"/>
  <c r="E8" i="52"/>
  <c r="E7" i="52"/>
  <c r="E6" i="52"/>
  <c r="O9" i="49" l="1"/>
  <c r="O10" i="49" s="1"/>
  <c r="N9" i="49"/>
  <c r="N10" i="49" s="1"/>
  <c r="M9" i="49"/>
  <c r="M10" i="49" s="1"/>
  <c r="L9" i="49"/>
  <c r="L10" i="49" s="1"/>
  <c r="K9" i="49"/>
  <c r="K10" i="49" s="1"/>
  <c r="J9" i="49"/>
  <c r="J10" i="49" s="1"/>
  <c r="I9" i="49"/>
  <c r="I10" i="49" s="1"/>
  <c r="H9" i="49"/>
  <c r="H10" i="49" s="1"/>
  <c r="G9" i="49"/>
  <c r="G10" i="49" s="1"/>
  <c r="F9" i="49"/>
  <c r="F10" i="49" s="1"/>
  <c r="E9" i="49"/>
  <c r="E10" i="49" s="1"/>
  <c r="D9" i="49"/>
  <c r="D10" i="49" s="1"/>
  <c r="H6" i="43" l="1"/>
  <c r="H7" i="43"/>
  <c r="H8" i="43"/>
  <c r="H9" i="43"/>
  <c r="H10" i="43"/>
  <c r="H11" i="43"/>
  <c r="H12" i="43"/>
  <c r="H13" i="43"/>
  <c r="H14" i="43"/>
  <c r="H15" i="43"/>
  <c r="H16" i="43"/>
  <c r="H17" i="43"/>
  <c r="H18" i="43"/>
  <c r="H19" i="43"/>
  <c r="H20" i="43"/>
  <c r="H21" i="43"/>
  <c r="H22" i="43"/>
  <c r="H23" i="43"/>
  <c r="H24" i="43"/>
  <c r="H25" i="43"/>
  <c r="H26" i="43"/>
  <c r="H27" i="43"/>
  <c r="H28" i="43"/>
  <c r="H29" i="43"/>
  <c r="D30" i="33" l="1"/>
  <c r="D29" i="33"/>
  <c r="D28" i="33"/>
  <c r="D27" i="33"/>
  <c r="D26" i="33"/>
  <c r="D25" i="33"/>
  <c r="D24" i="33"/>
  <c r="D23" i="33"/>
  <c r="D22" i="33"/>
  <c r="D21" i="33"/>
  <c r="D20" i="33"/>
  <c r="D19" i="33"/>
  <c r="D18" i="33"/>
  <c r="D17" i="33"/>
  <c r="D16" i="33"/>
  <c r="D15" i="33"/>
  <c r="D14" i="33"/>
  <c r="D13" i="33"/>
  <c r="D12" i="33"/>
  <c r="D11" i="33"/>
  <c r="W10" i="33"/>
  <c r="V10" i="33"/>
  <c r="U10" i="33"/>
  <c r="T10" i="33"/>
  <c r="S10" i="33"/>
  <c r="R10" i="33"/>
  <c r="Q10" i="33"/>
  <c r="P10" i="33"/>
  <c r="O10" i="33"/>
  <c r="N10" i="33"/>
  <c r="M10" i="33"/>
  <c r="L10" i="33"/>
  <c r="K10" i="33"/>
  <c r="J10" i="33"/>
  <c r="I10" i="33"/>
  <c r="H10" i="33"/>
  <c r="G10" i="33"/>
  <c r="F10" i="33"/>
  <c r="E10" i="33"/>
  <c r="D10" i="33"/>
  <c r="L25" i="33" l="1"/>
  <c r="H18" i="33"/>
  <c r="H22" i="33"/>
  <c r="L29" i="33"/>
  <c r="L19" i="33"/>
  <c r="L23" i="33"/>
  <c r="P26" i="33"/>
  <c r="H14" i="33"/>
  <c r="F16" i="33"/>
  <c r="P30" i="33"/>
  <c r="K16" i="33"/>
  <c r="P16" i="33"/>
  <c r="P20" i="33"/>
  <c r="G16" i="33"/>
  <c r="H29" i="33"/>
  <c r="P29" i="33"/>
  <c r="N14" i="33"/>
  <c r="L17" i="33"/>
  <c r="H24" i="33"/>
  <c r="V12" i="33"/>
  <c r="W15" i="33"/>
  <c r="L21" i="33"/>
  <c r="H28" i="33"/>
  <c r="L30" i="33"/>
  <c r="T16" i="33"/>
  <c r="V11" i="33"/>
  <c r="P18" i="33"/>
  <c r="L27" i="33"/>
  <c r="V13" i="33"/>
  <c r="P28" i="33"/>
  <c r="H30" i="33"/>
  <c r="O13" i="33"/>
  <c r="S12" i="33"/>
  <c r="W13" i="33"/>
  <c r="N16" i="33"/>
  <c r="H20" i="33"/>
  <c r="P22" i="33"/>
  <c r="P24" i="33"/>
  <c r="H26" i="33"/>
  <c r="K11" i="33"/>
  <c r="S11" i="33"/>
  <c r="G12" i="33"/>
  <c r="O12" i="33"/>
  <c r="W12" i="33"/>
  <c r="K13" i="33"/>
  <c r="S13" i="33"/>
  <c r="S14" i="33"/>
  <c r="J15" i="33"/>
  <c r="H11" i="33"/>
  <c r="L11" i="33"/>
  <c r="P11" i="33"/>
  <c r="T11" i="33"/>
  <c r="H12" i="33"/>
  <c r="L12" i="33"/>
  <c r="P12" i="33"/>
  <c r="T12" i="33"/>
  <c r="H13" i="33"/>
  <c r="U14" i="33"/>
  <c r="Q14" i="33"/>
  <c r="M14" i="33"/>
  <c r="I14" i="33"/>
  <c r="E14" i="33"/>
  <c r="O14" i="33"/>
  <c r="F15" i="33"/>
  <c r="P15" i="33"/>
  <c r="V15" i="33"/>
  <c r="L16" i="33"/>
  <c r="P17" i="33"/>
  <c r="L18" i="33"/>
  <c r="H19" i="33"/>
  <c r="T20" i="33"/>
  <c r="P21" i="33"/>
  <c r="L22" i="33"/>
  <c r="H23" i="33"/>
  <c r="T24" i="33"/>
  <c r="P25" i="33"/>
  <c r="L26" i="33"/>
  <c r="H27" i="33"/>
  <c r="T28" i="33"/>
  <c r="E11" i="33"/>
  <c r="I11" i="33"/>
  <c r="M11" i="33"/>
  <c r="Q11" i="33"/>
  <c r="U11" i="33"/>
  <c r="E12" i="33"/>
  <c r="I12" i="33"/>
  <c r="M12" i="33"/>
  <c r="Q12" i="33"/>
  <c r="U12" i="33"/>
  <c r="E13" i="33"/>
  <c r="I13" i="33"/>
  <c r="M13" i="33"/>
  <c r="Q13" i="33"/>
  <c r="U13" i="33"/>
  <c r="F14" i="33"/>
  <c r="K14" i="33"/>
  <c r="P14" i="33"/>
  <c r="V14" i="33"/>
  <c r="G15" i="33"/>
  <c r="L15" i="33"/>
  <c r="R15" i="33"/>
  <c r="H16" i="33"/>
  <c r="W17" i="33"/>
  <c r="S17" i="33"/>
  <c r="O17" i="33"/>
  <c r="K17" i="33"/>
  <c r="G17" i="33"/>
  <c r="V17" i="33"/>
  <c r="R17" i="33"/>
  <c r="N17" i="33"/>
  <c r="J17" i="33"/>
  <c r="F17" i="33"/>
  <c r="U17" i="33"/>
  <c r="Q17" i="33"/>
  <c r="M17" i="33"/>
  <c r="I17" i="33"/>
  <c r="E17" i="33"/>
  <c r="T17" i="33"/>
  <c r="W21" i="33"/>
  <c r="S21" i="33"/>
  <c r="O21" i="33"/>
  <c r="K21" i="33"/>
  <c r="G21" i="33"/>
  <c r="V21" i="33"/>
  <c r="R21" i="33"/>
  <c r="N21" i="33"/>
  <c r="J21" i="33"/>
  <c r="F21" i="33"/>
  <c r="U21" i="33"/>
  <c r="Q21" i="33"/>
  <c r="M21" i="33"/>
  <c r="I21" i="33"/>
  <c r="E21" i="33"/>
  <c r="T21" i="33"/>
  <c r="W25" i="33"/>
  <c r="S25" i="33"/>
  <c r="O25" i="33"/>
  <c r="K25" i="33"/>
  <c r="G25" i="33"/>
  <c r="V25" i="33"/>
  <c r="R25" i="33"/>
  <c r="N25" i="33"/>
  <c r="J25" i="33"/>
  <c r="F25" i="33"/>
  <c r="U25" i="33"/>
  <c r="Q25" i="33"/>
  <c r="M25" i="33"/>
  <c r="I25" i="33"/>
  <c r="E25" i="33"/>
  <c r="T25" i="33"/>
  <c r="W29" i="33"/>
  <c r="S29" i="33"/>
  <c r="O29" i="33"/>
  <c r="K29" i="33"/>
  <c r="G29" i="33"/>
  <c r="V29" i="33"/>
  <c r="R29" i="33"/>
  <c r="N29" i="33"/>
  <c r="J29" i="33"/>
  <c r="F29" i="33"/>
  <c r="U29" i="33"/>
  <c r="Q29" i="33"/>
  <c r="M29" i="33"/>
  <c r="I29" i="33"/>
  <c r="E29" i="33"/>
  <c r="T29" i="33"/>
  <c r="G11" i="33"/>
  <c r="O11" i="33"/>
  <c r="W11" i="33"/>
  <c r="K12" i="33"/>
  <c r="G13" i="33"/>
  <c r="U15" i="33"/>
  <c r="Q15" i="33"/>
  <c r="M15" i="33"/>
  <c r="I15" i="33"/>
  <c r="E15" i="33"/>
  <c r="O15" i="33"/>
  <c r="T15" i="33"/>
  <c r="W19" i="33"/>
  <c r="S19" i="33"/>
  <c r="O19" i="33"/>
  <c r="K19" i="33"/>
  <c r="G19" i="33"/>
  <c r="V19" i="33"/>
  <c r="R19" i="33"/>
  <c r="N19" i="33"/>
  <c r="J19" i="33"/>
  <c r="F19" i="33"/>
  <c r="U19" i="33"/>
  <c r="Q19" i="33"/>
  <c r="M19" i="33"/>
  <c r="I19" i="33"/>
  <c r="E19" i="33"/>
  <c r="T19" i="33"/>
  <c r="W23" i="33"/>
  <c r="S23" i="33"/>
  <c r="O23" i="33"/>
  <c r="K23" i="33"/>
  <c r="G23" i="33"/>
  <c r="V23" i="33"/>
  <c r="R23" i="33"/>
  <c r="N23" i="33"/>
  <c r="J23" i="33"/>
  <c r="F23" i="33"/>
  <c r="U23" i="33"/>
  <c r="Q23" i="33"/>
  <c r="M23" i="33"/>
  <c r="I23" i="33"/>
  <c r="E23" i="33"/>
  <c r="T23" i="33"/>
  <c r="W27" i="33"/>
  <c r="S27" i="33"/>
  <c r="O27" i="33"/>
  <c r="K27" i="33"/>
  <c r="G27" i="33"/>
  <c r="V27" i="33"/>
  <c r="R27" i="33"/>
  <c r="N27" i="33"/>
  <c r="J27" i="33"/>
  <c r="F27" i="33"/>
  <c r="U27" i="33"/>
  <c r="Q27" i="33"/>
  <c r="M27" i="33"/>
  <c r="I27" i="33"/>
  <c r="E27" i="33"/>
  <c r="T27" i="33"/>
  <c r="L13" i="33"/>
  <c r="P13" i="33"/>
  <c r="T13" i="33"/>
  <c r="J14" i="33"/>
  <c r="T14" i="33"/>
  <c r="K15" i="33"/>
  <c r="W20" i="33"/>
  <c r="S20" i="33"/>
  <c r="O20" i="33"/>
  <c r="K20" i="33"/>
  <c r="G20" i="33"/>
  <c r="V20" i="33"/>
  <c r="R20" i="33"/>
  <c r="N20" i="33"/>
  <c r="J20" i="33"/>
  <c r="F20" i="33"/>
  <c r="U20" i="33"/>
  <c r="Q20" i="33"/>
  <c r="M20" i="33"/>
  <c r="I20" i="33"/>
  <c r="E20" i="33"/>
  <c r="W24" i="33"/>
  <c r="S24" i="33"/>
  <c r="O24" i="33"/>
  <c r="K24" i="33"/>
  <c r="G24" i="33"/>
  <c r="V24" i="33"/>
  <c r="R24" i="33"/>
  <c r="N24" i="33"/>
  <c r="J24" i="33"/>
  <c r="F24" i="33"/>
  <c r="U24" i="33"/>
  <c r="Q24" i="33"/>
  <c r="M24" i="33"/>
  <c r="I24" i="33"/>
  <c r="E24" i="33"/>
  <c r="W28" i="33"/>
  <c r="S28" i="33"/>
  <c r="O28" i="33"/>
  <c r="K28" i="33"/>
  <c r="G28" i="33"/>
  <c r="V28" i="33"/>
  <c r="R28" i="33"/>
  <c r="N28" i="33"/>
  <c r="J28" i="33"/>
  <c r="F28" i="33"/>
  <c r="U28" i="33"/>
  <c r="Q28" i="33"/>
  <c r="M28" i="33"/>
  <c r="I28" i="33"/>
  <c r="E28" i="33"/>
  <c r="F11" i="33"/>
  <c r="J11" i="33"/>
  <c r="N11" i="33"/>
  <c r="R11" i="33"/>
  <c r="F12" i="33"/>
  <c r="J12" i="33"/>
  <c r="N12" i="33"/>
  <c r="R12" i="33"/>
  <c r="F13" i="33"/>
  <c r="J13" i="33"/>
  <c r="N13" i="33"/>
  <c r="R13" i="33"/>
  <c r="G14" i="33"/>
  <c r="L14" i="33"/>
  <c r="R14" i="33"/>
  <c r="W14" i="33"/>
  <c r="H15" i="33"/>
  <c r="N15" i="33"/>
  <c r="S15" i="33"/>
  <c r="W16" i="33"/>
  <c r="S16" i="33"/>
  <c r="V16" i="33"/>
  <c r="R16" i="33"/>
  <c r="U16" i="33"/>
  <c r="Q16" i="33"/>
  <c r="M16" i="33"/>
  <c r="I16" i="33"/>
  <c r="E16" i="33"/>
  <c r="J16" i="33"/>
  <c r="O16" i="33"/>
  <c r="H17" i="33"/>
  <c r="W18" i="33"/>
  <c r="S18" i="33"/>
  <c r="O18" i="33"/>
  <c r="K18" i="33"/>
  <c r="G18" i="33"/>
  <c r="V18" i="33"/>
  <c r="R18" i="33"/>
  <c r="N18" i="33"/>
  <c r="J18" i="33"/>
  <c r="F18" i="33"/>
  <c r="U18" i="33"/>
  <c r="Q18" i="33"/>
  <c r="M18" i="33"/>
  <c r="I18" i="33"/>
  <c r="E18" i="33"/>
  <c r="T18" i="33"/>
  <c r="P19" i="33"/>
  <c r="L20" i="33"/>
  <c r="H21" i="33"/>
  <c r="W22" i="33"/>
  <c r="S22" i="33"/>
  <c r="O22" i="33"/>
  <c r="K22" i="33"/>
  <c r="G22" i="33"/>
  <c r="V22" i="33"/>
  <c r="R22" i="33"/>
  <c r="N22" i="33"/>
  <c r="J22" i="33"/>
  <c r="F22" i="33"/>
  <c r="U22" i="33"/>
  <c r="Q22" i="33"/>
  <c r="M22" i="33"/>
  <c r="I22" i="33"/>
  <c r="E22" i="33"/>
  <c r="T22" i="33"/>
  <c r="P23" i="33"/>
  <c r="L24" i="33"/>
  <c r="H25" i="33"/>
  <c r="W26" i="33"/>
  <c r="S26" i="33"/>
  <c r="O26" i="33"/>
  <c r="K26" i="33"/>
  <c r="G26" i="33"/>
  <c r="V26" i="33"/>
  <c r="R26" i="33"/>
  <c r="N26" i="33"/>
  <c r="J26" i="33"/>
  <c r="F26" i="33"/>
  <c r="U26" i="33"/>
  <c r="Q26" i="33"/>
  <c r="M26" i="33"/>
  <c r="I26" i="33"/>
  <c r="E26" i="33"/>
  <c r="T26" i="33"/>
  <c r="P27" i="33"/>
  <c r="L28" i="33"/>
  <c r="W30" i="33"/>
  <c r="S30" i="33"/>
  <c r="O30" i="33"/>
  <c r="K30" i="33"/>
  <c r="G30" i="33"/>
  <c r="V30" i="33"/>
  <c r="R30" i="33"/>
  <c r="N30" i="33"/>
  <c r="J30" i="33"/>
  <c r="F30" i="33"/>
  <c r="U30" i="33"/>
  <c r="Q30" i="33"/>
  <c r="M30" i="33"/>
  <c r="I30" i="33"/>
  <c r="E30" i="33"/>
  <c r="T30" i="33"/>
  <c r="D8" i="16" l="1"/>
  <c r="D21" i="15" l="1"/>
  <c r="D20" i="15"/>
  <c r="D22" i="15" l="1"/>
  <c r="E26" i="10" l="1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Excel usa esta conexión para la comunicación entre el libro y los datos de PowerPivot incrustados y no se debe editar o eliminar manualmente." type="5" refreshedVersion="0" background="1">
    <dbPr connection="Provider=MSOLAP.4;Persist Security Info=True;Initial Catalog=Microsoft_SQLServer_AnalysisServices;Data Source=$Embedded$;MDX Compatibility=1;Safety Options=2;MDX Missing Member Mode=Error;Optimize Response=3;Cell Error Mode=TextValue" command="Sandbox" commandType="1"/>
    <olapPr sendLocale="1" rowDrillCount="1000"/>
    <extLst>
      <ext xmlns:x14="http://schemas.microsoft.com/office/spreadsheetml/2009/9/main" uri="{D79990A0-CA42-45e3-83F4-45C500A0EAA5}">
        <x14:connection culture="" embeddedDataId="Microsoft_SQLServer_AnalysisServices"/>
      </ext>
    </extLst>
  </connection>
</connections>
</file>

<file path=xl/sharedStrings.xml><?xml version="1.0" encoding="utf-8"?>
<sst xmlns="http://schemas.openxmlformats.org/spreadsheetml/2006/main" count="675" uniqueCount="185">
  <si>
    <t>Amount</t>
  </si>
  <si>
    <t>Amado</t>
  </si>
  <si>
    <t>María Cecilia</t>
  </si>
  <si>
    <t>Altermis</t>
  </si>
  <si>
    <t>Juan</t>
  </si>
  <si>
    <t>Briotto</t>
  </si>
  <si>
    <t>Lucía</t>
  </si>
  <si>
    <t>Cecchu</t>
  </si>
  <si>
    <t>Mariana</t>
  </si>
  <si>
    <t>Delía</t>
  </si>
  <si>
    <t>Rubén</t>
  </si>
  <si>
    <t>Duppe</t>
  </si>
  <si>
    <t>Pablo</t>
  </si>
  <si>
    <t>Fernández</t>
  </si>
  <si>
    <t>Ezequiel</t>
  </si>
  <si>
    <t>Inari</t>
  </si>
  <si>
    <t>Jorge</t>
  </si>
  <si>
    <t>Juárez</t>
  </si>
  <si>
    <t>Marcela</t>
  </si>
  <si>
    <t>Kuelli</t>
  </si>
  <si>
    <t>Andrés</t>
  </si>
  <si>
    <t>Lippo</t>
  </si>
  <si>
    <t>Antonio</t>
  </si>
  <si>
    <t>Miranda</t>
  </si>
  <si>
    <t>Jorgelina</t>
  </si>
  <si>
    <t>Montero</t>
  </si>
  <si>
    <t>Ricardo</t>
  </si>
  <si>
    <t>Menzúa</t>
  </si>
  <si>
    <t>Elena</t>
  </si>
  <si>
    <t>Oltuna</t>
  </si>
  <si>
    <t>Federico</t>
  </si>
  <si>
    <t>Pettreco</t>
  </si>
  <si>
    <t>Nicolás</t>
  </si>
  <si>
    <t>Rodríguez</t>
  </si>
  <si>
    <t>Zunnino</t>
  </si>
  <si>
    <t>Laura</t>
  </si>
  <si>
    <t>Unit cost</t>
  </si>
  <si>
    <t>Unit Sales Price</t>
  </si>
  <si>
    <t>Sales</t>
  </si>
  <si>
    <t>Fix cost</t>
  </si>
  <si>
    <t>Total variable cost</t>
  </si>
  <si>
    <t>Total cost</t>
  </si>
  <si>
    <t>Total Income</t>
  </si>
  <si>
    <t>Benefits</t>
  </si>
  <si>
    <t>Goal seek</t>
  </si>
  <si>
    <t>Duration</t>
  </si>
  <si>
    <t>years</t>
  </si>
  <si>
    <t>Rate</t>
  </si>
  <si>
    <t>% per year</t>
  </si>
  <si>
    <t>Monthly payment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</si>
  <si>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</si>
  <si>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</si>
  <si>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</si>
  <si>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</si>
  <si>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</si>
  <si>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</si>
  <si>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</si>
  <si>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</si>
  <si>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</si>
  <si>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</si>
  <si>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</si>
  <si>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</si>
  <si>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 =</t>
  </si>
  <si>
    <t>A =</t>
  </si>
  <si>
    <t>Limitaciones</t>
  </si>
  <si>
    <t>ID1</t>
  </si>
  <si>
    <t>Método</t>
  </si>
  <si>
    <t>Inconviente</t>
  </si>
  <si>
    <t>Iconos con referencias absolutas</t>
  </si>
  <si>
    <t>Debo crear tantos formatos como filas</t>
  </si>
  <si>
    <t xml:space="preserve">Iconos con Columna auxiliar con referencias numéricas </t>
  </si>
  <si>
    <t>Debo cosntruir otra columna</t>
  </si>
  <si>
    <t>Formato de celda con referencias relativas</t>
  </si>
  <si>
    <t>No puedo utilizar iconos</t>
  </si>
  <si>
    <t>Año</t>
  </si>
  <si>
    <t>Tipo</t>
  </si>
  <si>
    <t>Precio Público</t>
  </si>
  <si>
    <t>Tipo 1</t>
  </si>
  <si>
    <t>Tipo 2</t>
  </si>
  <si>
    <t>Tipo 3</t>
  </si>
  <si>
    <t>Tipo 4</t>
  </si>
  <si>
    <t>Tipo 5</t>
  </si>
  <si>
    <t>Precio Fabricación</t>
  </si>
  <si>
    <t>Precio Distribución</t>
  </si>
  <si>
    <t>Mes</t>
  </si>
  <si>
    <t>Ejemplo 3</t>
  </si>
  <si>
    <t>Delta 2013-12</t>
  </si>
  <si>
    <t>Conditional Formatting</t>
  </si>
  <si>
    <t>Why Conditional Formatting</t>
  </si>
  <si>
    <t>Spark Lines</t>
  </si>
  <si>
    <t>Surname</t>
  </si>
  <si>
    <t>Name</t>
  </si>
  <si>
    <t>Order ID</t>
  </si>
  <si>
    <t>Delivery Date</t>
  </si>
  <si>
    <t>Delivered</t>
  </si>
  <si>
    <t>Delivering Status</t>
  </si>
  <si>
    <t>PENDING</t>
  </si>
  <si>
    <t>DELIVERED</t>
  </si>
  <si>
    <t>EXPIRED</t>
  </si>
  <si>
    <t>yes</t>
  </si>
  <si>
    <t>Sierra</t>
  </si>
  <si>
    <t>Kilo</t>
  </si>
  <si>
    <t>Golf</t>
  </si>
  <si>
    <t>Juliet</t>
  </si>
  <si>
    <t>Zulu</t>
  </si>
  <si>
    <t>Romeo</t>
  </si>
  <si>
    <t>India</t>
  </si>
  <si>
    <t>Tango</t>
  </si>
  <si>
    <t>Bravo</t>
  </si>
  <si>
    <t>Mike</t>
  </si>
  <si>
    <t>Alpha</t>
  </si>
  <si>
    <t>X-ray</t>
  </si>
  <si>
    <t>Echo</t>
  </si>
  <si>
    <t>Oscar</t>
  </si>
  <si>
    <t>Lima</t>
  </si>
  <si>
    <t>Charlie</t>
  </si>
  <si>
    <t>Yankee</t>
  </si>
  <si>
    <t>Foxtrot</t>
  </si>
  <si>
    <t>November</t>
  </si>
  <si>
    <t>Whiskey</t>
  </si>
  <si>
    <t>Quebec</t>
  </si>
  <si>
    <t>Uniform</t>
  </si>
  <si>
    <t>Victor</t>
  </si>
  <si>
    <t>Delta</t>
  </si>
  <si>
    <t>Hotel</t>
  </si>
  <si>
    <t>Papa</t>
  </si>
  <si>
    <t>Cell Value &gt;80</t>
  </si>
  <si>
    <t>Top 1</t>
  </si>
  <si>
    <t>Rules</t>
  </si>
  <si>
    <t>Passport</t>
  </si>
  <si>
    <t>Sun cream</t>
  </si>
  <si>
    <t>Swimming costume</t>
  </si>
  <si>
    <t>Money</t>
  </si>
  <si>
    <t>Medication</t>
  </si>
  <si>
    <t>Camera</t>
  </si>
  <si>
    <t>A good book</t>
  </si>
  <si>
    <t>Toothbrush</t>
  </si>
  <si>
    <t>Travel insurance documents</t>
  </si>
  <si>
    <t>Mobile phone</t>
  </si>
  <si>
    <t>Total items</t>
  </si>
  <si>
    <t>Items packed</t>
  </si>
  <si>
    <t>Am I ready to go?</t>
  </si>
  <si>
    <t>Month</t>
  </si>
  <si>
    <t>Year</t>
  </si>
  <si>
    <t>Type</t>
  </si>
  <si>
    <t>Manufacturing Price</t>
  </si>
  <si>
    <t>Dealer Price</t>
  </si>
  <si>
    <t>Sales Price</t>
  </si>
  <si>
    <t>Dealer Margin</t>
  </si>
  <si>
    <t>Dealer Margin2</t>
  </si>
  <si>
    <t>Dealer Margin3</t>
  </si>
  <si>
    <t>January</t>
  </si>
  <si>
    <t>February</t>
  </si>
  <si>
    <t>Sales 2012</t>
  </si>
  <si>
    <t>Sales 2013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</si>
  <si>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</si>
  <si>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</si>
  <si>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</si>
  <si>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</si>
  <si>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</si>
  <si>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</si>
  <si>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</si>
  <si>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</si>
  <si>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December</t>
  </si>
  <si>
    <t>Why</t>
  </si>
  <si>
    <t>CF Definition</t>
  </si>
  <si>
    <t>Find Duplicates</t>
  </si>
  <si>
    <t>Conflicting Rules</t>
  </si>
  <si>
    <t>Checklists</t>
  </si>
  <si>
    <t>Objective</t>
  </si>
  <si>
    <t>Method</t>
  </si>
  <si>
    <t>Use built-in CF feature</t>
  </si>
  <si>
    <t>Find the duplicate values in the list</t>
  </si>
  <si>
    <t>Find the unique values in the list</t>
  </si>
  <si>
    <t>Create a Checklist and status message in cell B26</t>
  </si>
  <si>
    <t>Use CF in cell B26, showing:
'NO' message and red background if the list is uncomplete
'YES' message and green background if the list is complete</t>
  </si>
  <si>
    <t>Qualitative visualization of data using a graph inside of a cell</t>
  </si>
  <si>
    <t>Sparklines</t>
  </si>
  <si>
    <t>Manage conflicting rules</t>
  </si>
  <si>
    <t>Discover order of rule execution</t>
  </si>
  <si>
    <t>Definition and CF types</t>
  </si>
  <si>
    <t>Visualize relevant data</t>
  </si>
  <si>
    <t xml:space="preserve">Apply color CF in 'Delivered' column according to the legend and the values in 'Delivering Status' column 
</t>
  </si>
  <si>
    <t xml:space="preserve">i) Build a formula that creates in column 'Delivering Status' the:
     DELIVERED when order delivered
     EXPIRED when delivery date is expired
     PENDING when delivery is pending
ii) Apply color CF in 'Delivering Status' column according to the legend 
</t>
  </si>
  <si>
    <t xml:space="preserve">i)  Create a data column called 'Dealer Margin' as 'Sales Price' - Dealer Price'
ii) Add a CF (text color) to the column 'Dealer Margin' according to:
      Red for Dealer Margin &lt; 0
      Green for Dealer Margin &gt; 0
      Yellow for Dealer Margin = 0
iii) Duplicate 'Dealer Margin' column and add a Bar CF
iv)  Duplicate 'Dealer Margin' column and add arrow icons according to:
      Red Down arrow for Dealer Margin &lt; 0
      Green Up arrow for Dealer Margin &gt; 0
      Yellow Rifgt arrow for Dealer Margin = 0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</si>
</sst>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#,##0.00\ &quot;€&quot;;[Red]\-#,##0.00\ &quot;€&quot;"/>
    <numFmt numFmtId="164" formatCode="_-* #,##0.00\ _€_-;\-* #,##0.00\ _€_-;_-* &quot;-&quot;??\ _€_-;_-@_-"/>
    <numFmt numFmtId="165" formatCode="dd\-mmm\-yyyy"/>
    <numFmt numFmtId="166" formatCode="#,##0.00\ &quot;€&quot;"/>
    <numFmt numFmtId="167" formatCode="_-* #,##0\ _€_-;\-* #,##0\ _€_-;_-* &quot;-&quot;??\ _€_-;_-@_-"/>
    <numFmt numFmtId="168" formatCode="[$-C0A]mmm\-yy;@"/>
    <numFmt numFmtId="169" formatCode="_(&quot;$&quot;* #,##0.00_);_(&quot;$&quot;* \(#,##0.00\);_(&quot;$&quot;* &quot;-&quot;??_);_(@_)"/>
    <numFmt numFmtId="170" formatCode="_(* #,##0.00_);_(* \(#,##0.00\);_(* &quot;-&quot;??_);_(@_)"/>
  </numFmts>
  <fonts count="26" x14ac:knownFonts="1">
    <font>
      <sz val="11"/>
      <color theme="1"/>
      <name val="Calibri"/>
      <family val="2"/>
      <scheme val="minor"/>
    </font>
    <font>
      <b/>
      <sz val="12"/>
      <color indexed="12"/>
      <name val="Calibri"/>
      <family val="2"/>
      <scheme val="minor"/>
    </font>
    <font>
      <sz val="1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name val="Arial"/>
      <family val="2"/>
    </font>
    <font>
      <sz val="36"/>
      <color theme="0"/>
      <name val="Calibri"/>
      <family val="2"/>
      <scheme val="minor"/>
    </font>
    <font>
      <sz val="18"/>
      <color theme="8"/>
      <name val="Calibri"/>
      <family val="2"/>
    </font>
    <font>
      <b/>
      <sz val="18"/>
      <color theme="8"/>
      <name val="Calibri"/>
      <family val="2"/>
      <scheme val="minor"/>
    </font>
    <font>
      <b/>
      <sz val="11"/>
      <color theme="8"/>
      <name val="Calibri"/>
      <family val="2"/>
      <scheme val="minor"/>
    </font>
    <font>
      <b/>
      <sz val="20"/>
      <color theme="0" tint="-0.499984740745262"/>
      <name val="Calibri"/>
      <family val="2"/>
      <scheme val="minor"/>
    </font>
    <font>
      <b/>
      <sz val="16"/>
      <color theme="5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6"/>
      <color theme="0" tint="-4.9989318521683403E-2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onsolas"/>
      <family val="3"/>
    </font>
    <font>
      <sz val="14"/>
      <color theme="1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5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/>
      <bottom/>
      <diagonal/>
    </border>
    <border>
      <left/>
      <right style="thin">
        <color theme="8"/>
      </right>
      <top/>
      <bottom/>
      <diagonal/>
    </border>
    <border>
      <left style="thin">
        <color theme="8"/>
      </left>
      <right/>
      <top/>
      <bottom style="thin">
        <color theme="8"/>
      </bottom>
      <diagonal/>
    </border>
    <border>
      <left/>
      <right/>
      <top/>
      <bottom style="thin">
        <color theme="8"/>
      </bottom>
      <diagonal/>
    </border>
    <border>
      <left/>
      <right style="thin">
        <color theme="8"/>
      </right>
      <top/>
      <bottom style="thin">
        <color theme="8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0">
    <xf numFmtId="0" fontId="0" fillId="0" borderId="0"/>
    <xf numFmtId="164" fontId="5" fillId="0" borderId="0" applyFont="0" applyFill="0" applyBorder="0" applyAlignment="0" applyProtection="0"/>
    <xf numFmtId="0" fontId="6" fillId="2" borderId="0" applyNumberFormat="0" applyBorder="0" applyAlignment="0" applyProtection="0"/>
    <xf numFmtId="0" fontId="3" fillId="3" borderId="0" applyNumberFormat="0" applyBorder="0" applyAlignment="0" applyProtection="0"/>
    <xf numFmtId="9" fontId="5" fillId="0" borderId="0" applyFont="0" applyFill="0" applyBorder="0" applyAlignment="0" applyProtection="0"/>
    <xf numFmtId="168" fontId="5" fillId="0" borderId="0"/>
    <xf numFmtId="0" fontId="12" fillId="0" borderId="0"/>
    <xf numFmtId="169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9" fontId="12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6" fillId="2" borderId="1" xfId="2" applyBorder="1"/>
    <xf numFmtId="166" fontId="0" fillId="0" borderId="1" xfId="0" applyNumberFormat="1" applyBorder="1"/>
    <xf numFmtId="167" fontId="0" fillId="0" borderId="1" xfId="1" applyNumberFormat="1" applyFont="1" applyBorder="1"/>
    <xf numFmtId="0" fontId="8" fillId="2" borderId="1" xfId="2" applyFont="1" applyBorder="1"/>
    <xf numFmtId="166" fontId="7" fillId="0" borderId="1" xfId="0" applyNumberFormat="1" applyFont="1" applyBorder="1"/>
    <xf numFmtId="0" fontId="9" fillId="3" borderId="0" xfId="3" applyFont="1"/>
    <xf numFmtId="0" fontId="6" fillId="2" borderId="1" xfId="2" applyBorder="1" applyAlignment="1">
      <alignment horizontal="left"/>
    </xf>
    <xf numFmtId="0" fontId="6" fillId="2" borderId="1" xfId="2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6" fillId="2" borderId="1" xfId="2" applyNumberFormat="1" applyBorder="1" applyAlignment="1">
      <alignment horizontal="center"/>
    </xf>
    <xf numFmtId="0" fontId="7" fillId="0" borderId="1" xfId="0" applyFont="1" applyBorder="1" applyAlignment="1">
      <alignment horizontal="left"/>
    </xf>
    <xf numFmtId="8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9" fontId="0" fillId="0" borderId="0" xfId="4" applyFont="1"/>
    <xf numFmtId="0" fontId="10" fillId="0" borderId="0" xfId="0" applyFont="1"/>
    <xf numFmtId="0" fontId="4" fillId="0" borderId="0" xfId="0" applyFont="1"/>
    <xf numFmtId="165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0" fillId="0" borderId="0" xfId="0" applyNumberFormat="1" applyAlignment="1">
      <alignment vertical="center"/>
    </xf>
    <xf numFmtId="0" fontId="7" fillId="0" borderId="0" xfId="0" applyFont="1"/>
    <xf numFmtId="0" fontId="0" fillId="4" borderId="0" xfId="0" applyFill="1"/>
    <xf numFmtId="0" fontId="7" fillId="4" borderId="0" xfId="0" applyFont="1" applyFill="1"/>
    <xf numFmtId="2" fontId="7" fillId="4" borderId="0" xfId="0" applyNumberFormat="1" applyFont="1" applyFill="1"/>
    <xf numFmtId="2" fontId="3" fillId="4" borderId="0" xfId="0" applyNumberFormat="1" applyFont="1" applyFill="1"/>
    <xf numFmtId="0" fontId="11" fillId="4" borderId="0" xfId="0" applyFont="1" applyFill="1"/>
    <xf numFmtId="0" fontId="11" fillId="4" borderId="0" xfId="0" applyFont="1" applyFill="1" applyAlignment="1">
      <alignment horizontal="left"/>
    </xf>
    <xf numFmtId="0" fontId="0" fillId="5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3" fillId="0" borderId="0" xfId="2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/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4" fillId="0" borderId="0" xfId="6" applyFont="1"/>
    <xf numFmtId="0" fontId="15" fillId="0" borderId="0" xfId="0" applyFont="1"/>
    <xf numFmtId="0" fontId="13" fillId="4" borderId="0" xfId="0" applyFont="1" applyFill="1"/>
    <xf numFmtId="0" fontId="4" fillId="0" borderId="0" xfId="0" applyFont="1" applyAlignment="1">
      <alignment wrapText="1"/>
    </xf>
    <xf numFmtId="0" fontId="16" fillId="0" borderId="0" xfId="0" applyFon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8" borderId="11" xfId="0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9" borderId="0" xfId="0" applyFont="1" applyFill="1" applyAlignment="1">
      <alignment horizontal="center"/>
    </xf>
    <xf numFmtId="0" fontId="20" fillId="9" borderId="2" xfId="0" applyFont="1" applyFill="1" applyBorder="1" applyAlignment="1">
      <alignment horizontal="center"/>
    </xf>
    <xf numFmtId="0" fontId="22" fillId="0" borderId="0" xfId="0" applyFont="1" applyAlignment="1">
      <alignment vertical="center"/>
    </xf>
    <xf numFmtId="0" fontId="22" fillId="0" borderId="0" xfId="0" applyFont="1"/>
    <xf numFmtId="0" fontId="0" fillId="0" borderId="0" xfId="0" applyAlignment="1">
      <alignment wrapText="1"/>
    </xf>
    <xf numFmtId="0" fontId="23" fillId="0" borderId="0" xfId="0" applyFont="1"/>
    <xf numFmtId="0" fontId="20" fillId="9" borderId="0" xfId="0" applyFont="1" applyFill="1"/>
    <xf numFmtId="0" fontId="24" fillId="0" borderId="0" xfId="0" applyFont="1"/>
    <xf numFmtId="0" fontId="25" fillId="9" borderId="0" xfId="0" applyFont="1" applyFill="1"/>
    <xf numFmtId="0" fontId="25" fillId="0" borderId="0" xfId="0" applyFont="1"/>
    <xf numFmtId="0" fontId="25" fillId="9" borderId="0" xfId="0" applyFont="1" applyFill="1" applyAlignment="1">
      <alignment horizontal="left" vertical="top"/>
    </xf>
    <xf numFmtId="0" fontId="0" fillId="7" borderId="0" xfId="0" applyFill="1"/>
    <xf numFmtId="0" fontId="0" fillId="10" borderId="0" xfId="0" applyFill="1"/>
    <xf numFmtId="0" fontId="21" fillId="0" borderId="0" xfId="0" applyFont="1" applyAlignment="1">
      <alignment horizontal="left"/>
    </xf>
    <xf numFmtId="0" fontId="23" fillId="0" borderId="0" xfId="0" applyFont="1" applyAlignment="1">
      <alignment horizontal="left" vertical="top" wrapText="1"/>
    </xf>
    <xf numFmtId="0" fontId="25" fillId="0" borderId="0" xfId="0" applyFont="1" applyAlignment="1">
      <alignment horizontal="left" vertical="top"/>
    </xf>
    <xf numFmtId="0" fontId="21" fillId="9" borderId="0" xfId="0" applyFont="1" applyFill="1" applyAlignment="1">
      <alignment horizontal="left"/>
    </xf>
    <xf numFmtId="0" fontId="23" fillId="0" borderId="0" xfId="0" applyFont="1" applyAlignment="1">
      <alignment horizontal="left" vertical="top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23" fillId="0" borderId="0" xfId="0" applyFont="1" applyAlignment="1">
      <alignment horizontal="left" wrapText="1"/>
    </xf>
  </cellXfs>
  <cellStyles count="10">
    <cellStyle name="Accent2" xfId="3" builtinId="33"/>
    <cellStyle name="Comma" xfId="1" builtinId="3"/>
    <cellStyle name="Good" xfId="2" builtinId="26"/>
    <cellStyle name="Millares 2" xfId="8" xr:uid="{00000000-0005-0000-0000-000003000000}"/>
    <cellStyle name="Moneda 2" xfId="7" xr:uid="{00000000-0005-0000-0000-000004000000}"/>
    <cellStyle name="Normal" xfId="0" builtinId="0"/>
    <cellStyle name="Normal 2" xfId="6" xr:uid="{00000000-0005-0000-0000-000006000000}"/>
    <cellStyle name="Normal 5" xfId="5" xr:uid="{00000000-0005-0000-0000-000007000000}"/>
    <cellStyle name="Percent" xfId="4" builtinId="5"/>
    <cellStyle name="Porcentaje 2" xfId="9" xr:uid="{00000000-0005-0000-0000-000009000000}"/>
  </cellStyles>
  <dxfs count="86"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theme="9"/>
      </font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dd\-mmm\-yyyy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dd\-mmm\-yyyy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dd\-mmm\-yyyy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dd\-mmm\-yyyy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dd\-mmm\-yyyy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 tint="-4.9989318521683403E-2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dd\-mmm\-yyyy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 tint="-4.9989318521683403E-2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dd\-mmm\-yyyy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 tint="-4.9989318521683403E-2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07/relationships/customDataProps" Target="customData/itemProps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onnections" Target="connections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8"/>
    </mc:Choice>
    <mc:Fallback>
      <c:style val="48"/>
    </mc:Fallback>
  </mc:AlternateContent>
  <c:chart>
    <c:autoTitleDeleted val="0"/>
    <c:view3D>
      <c:rotX val="10"/>
      <c:rotY val="90"/>
      <c:rAngAx val="0"/>
    </c:view3D>
    <c:floor>
      <c:thickness val="0"/>
      <c:spPr>
        <a:scene3d>
          <a:camera prst="orthographicFront"/>
          <a:lightRig rig="threePt" dir="t"/>
        </a:scene3d>
        <a:sp3d/>
      </c:spPr>
    </c:floor>
    <c:sideWall>
      <c:thickness val="0"/>
    </c:sideWall>
    <c:backWall>
      <c:thickness val="0"/>
    </c:backWall>
    <c:plotArea>
      <c:layout/>
      <c:surface3DChart>
        <c:wireframe val="1"/>
        <c:ser>
          <c:idx val="0"/>
          <c:order val="0"/>
          <c:val>
            <c:numRef>
              <c:f>Why!$E$11:$E$30</c:f>
              <c:numCache>
                <c:formatCode>0.00</c:formatCode>
                <c:ptCount val="20"/>
                <c:pt idx="0">
                  <c:v>220</c:v>
                </c:pt>
                <c:pt idx="1">
                  <c:v>121</c:v>
                </c:pt>
                <c:pt idx="2">
                  <c:v>79.75</c:v>
                </c:pt>
                <c:pt idx="3">
                  <c:v>44</c:v>
                </c:pt>
                <c:pt idx="4">
                  <c:v>13.75</c:v>
                </c:pt>
                <c:pt idx="5">
                  <c:v>-11</c:v>
                </c:pt>
                <c:pt idx="6">
                  <c:v>-30.25</c:v>
                </c:pt>
                <c:pt idx="7">
                  <c:v>-44</c:v>
                </c:pt>
                <c:pt idx="8">
                  <c:v>-52.25</c:v>
                </c:pt>
                <c:pt idx="9">
                  <c:v>-55</c:v>
                </c:pt>
                <c:pt idx="10">
                  <c:v>-52.25</c:v>
                </c:pt>
                <c:pt idx="11">
                  <c:v>-44</c:v>
                </c:pt>
                <c:pt idx="12">
                  <c:v>-30.25</c:v>
                </c:pt>
                <c:pt idx="13">
                  <c:v>-11</c:v>
                </c:pt>
                <c:pt idx="14">
                  <c:v>13.75</c:v>
                </c:pt>
                <c:pt idx="15">
                  <c:v>44</c:v>
                </c:pt>
                <c:pt idx="16">
                  <c:v>79.75</c:v>
                </c:pt>
                <c:pt idx="17">
                  <c:v>121</c:v>
                </c:pt>
                <c:pt idx="18">
                  <c:v>167.75</c:v>
                </c:pt>
                <c:pt idx="19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48-4F2A-8FBB-15FA55FB3E43}"/>
            </c:ext>
          </c:extLst>
        </c:ser>
        <c:ser>
          <c:idx val="1"/>
          <c:order val="1"/>
          <c:val>
            <c:numRef>
              <c:f>Why!$F$11:$F$30</c:f>
              <c:numCache>
                <c:formatCode>0.00</c:formatCode>
                <c:ptCount val="20"/>
                <c:pt idx="0">
                  <c:v>145</c:v>
                </c:pt>
                <c:pt idx="1">
                  <c:v>79.75</c:v>
                </c:pt>
                <c:pt idx="2">
                  <c:v>52.5625</c:v>
                </c:pt>
                <c:pt idx="3">
                  <c:v>29</c:v>
                </c:pt>
                <c:pt idx="4">
                  <c:v>9.0625</c:v>
                </c:pt>
                <c:pt idx="5">
                  <c:v>-7.25</c:v>
                </c:pt>
                <c:pt idx="6">
                  <c:v>-19.9375</c:v>
                </c:pt>
                <c:pt idx="7">
                  <c:v>-29</c:v>
                </c:pt>
                <c:pt idx="8">
                  <c:v>-34.4375</c:v>
                </c:pt>
                <c:pt idx="9">
                  <c:v>-36.25</c:v>
                </c:pt>
                <c:pt idx="10">
                  <c:v>-34.4375</c:v>
                </c:pt>
                <c:pt idx="11">
                  <c:v>-29</c:v>
                </c:pt>
                <c:pt idx="12">
                  <c:v>-19.9375</c:v>
                </c:pt>
                <c:pt idx="13">
                  <c:v>-7.25</c:v>
                </c:pt>
                <c:pt idx="14">
                  <c:v>9.0625</c:v>
                </c:pt>
                <c:pt idx="15">
                  <c:v>29</c:v>
                </c:pt>
                <c:pt idx="16">
                  <c:v>52.5625</c:v>
                </c:pt>
                <c:pt idx="17">
                  <c:v>79.75</c:v>
                </c:pt>
                <c:pt idx="18">
                  <c:v>110.5625</c:v>
                </c:pt>
                <c:pt idx="19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48-4F2A-8FBB-15FA55FB3E43}"/>
            </c:ext>
          </c:extLst>
        </c:ser>
        <c:ser>
          <c:idx val="2"/>
          <c:order val="2"/>
          <c:val>
            <c:numRef>
              <c:f>Why!$G$11:$G$30</c:f>
              <c:numCache>
                <c:formatCode>0.00</c:formatCode>
                <c:ptCount val="20"/>
                <c:pt idx="0">
                  <c:v>80</c:v>
                </c:pt>
                <c:pt idx="1">
                  <c:v>44</c:v>
                </c:pt>
                <c:pt idx="2">
                  <c:v>29</c:v>
                </c:pt>
                <c:pt idx="3">
                  <c:v>16</c:v>
                </c:pt>
                <c:pt idx="4">
                  <c:v>5</c:v>
                </c:pt>
                <c:pt idx="5">
                  <c:v>-4</c:v>
                </c:pt>
                <c:pt idx="6">
                  <c:v>-11</c:v>
                </c:pt>
                <c:pt idx="7">
                  <c:v>-16</c:v>
                </c:pt>
                <c:pt idx="8">
                  <c:v>-19</c:v>
                </c:pt>
                <c:pt idx="9">
                  <c:v>-20</c:v>
                </c:pt>
                <c:pt idx="10">
                  <c:v>-19</c:v>
                </c:pt>
                <c:pt idx="11">
                  <c:v>-16</c:v>
                </c:pt>
                <c:pt idx="12">
                  <c:v>-11</c:v>
                </c:pt>
                <c:pt idx="13">
                  <c:v>-4</c:v>
                </c:pt>
                <c:pt idx="14">
                  <c:v>5</c:v>
                </c:pt>
                <c:pt idx="15">
                  <c:v>16</c:v>
                </c:pt>
                <c:pt idx="16">
                  <c:v>29</c:v>
                </c:pt>
                <c:pt idx="17">
                  <c:v>44</c:v>
                </c:pt>
                <c:pt idx="18">
                  <c:v>61</c:v>
                </c:pt>
                <c:pt idx="19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48-4F2A-8FBB-15FA55FB3E43}"/>
            </c:ext>
          </c:extLst>
        </c:ser>
        <c:ser>
          <c:idx val="3"/>
          <c:order val="3"/>
          <c:val>
            <c:numRef>
              <c:f>Why!$H$11:$H$30</c:f>
              <c:numCache>
                <c:formatCode>0.00</c:formatCode>
                <c:ptCount val="20"/>
                <c:pt idx="0">
                  <c:v>25</c:v>
                </c:pt>
                <c:pt idx="1">
                  <c:v>13.75</c:v>
                </c:pt>
                <c:pt idx="2">
                  <c:v>9.0625</c:v>
                </c:pt>
                <c:pt idx="3">
                  <c:v>5</c:v>
                </c:pt>
                <c:pt idx="4">
                  <c:v>1.5625</c:v>
                </c:pt>
                <c:pt idx="5">
                  <c:v>-1.25</c:v>
                </c:pt>
                <c:pt idx="6">
                  <c:v>-3.4375</c:v>
                </c:pt>
                <c:pt idx="7">
                  <c:v>-5</c:v>
                </c:pt>
                <c:pt idx="8">
                  <c:v>-5.9375</c:v>
                </c:pt>
                <c:pt idx="9">
                  <c:v>-6.25</c:v>
                </c:pt>
                <c:pt idx="10">
                  <c:v>-5.9375</c:v>
                </c:pt>
                <c:pt idx="11">
                  <c:v>-5</c:v>
                </c:pt>
                <c:pt idx="12">
                  <c:v>-3.4375</c:v>
                </c:pt>
                <c:pt idx="13">
                  <c:v>-1.25</c:v>
                </c:pt>
                <c:pt idx="14">
                  <c:v>1.5625</c:v>
                </c:pt>
                <c:pt idx="15">
                  <c:v>5</c:v>
                </c:pt>
                <c:pt idx="16">
                  <c:v>9.0625</c:v>
                </c:pt>
                <c:pt idx="17">
                  <c:v>13.75</c:v>
                </c:pt>
                <c:pt idx="18">
                  <c:v>19.0625</c:v>
                </c:pt>
                <c:pt idx="19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48-4F2A-8FBB-15FA55FB3E43}"/>
            </c:ext>
          </c:extLst>
        </c:ser>
        <c:ser>
          <c:idx val="4"/>
          <c:order val="4"/>
          <c:val>
            <c:numRef>
              <c:f>Why!$I$11:$I$30</c:f>
              <c:numCache>
                <c:formatCode>0.00</c:formatCode>
                <c:ptCount val="20"/>
                <c:pt idx="0">
                  <c:v>-20</c:v>
                </c:pt>
                <c:pt idx="1">
                  <c:v>-11</c:v>
                </c:pt>
                <c:pt idx="2">
                  <c:v>-7.25</c:v>
                </c:pt>
                <c:pt idx="3">
                  <c:v>-4</c:v>
                </c:pt>
                <c:pt idx="4">
                  <c:v>-1.25</c:v>
                </c:pt>
                <c:pt idx="5">
                  <c:v>1</c:v>
                </c:pt>
                <c:pt idx="6">
                  <c:v>2.75</c:v>
                </c:pt>
                <c:pt idx="7">
                  <c:v>4</c:v>
                </c:pt>
                <c:pt idx="8">
                  <c:v>4.75</c:v>
                </c:pt>
                <c:pt idx="9">
                  <c:v>5</c:v>
                </c:pt>
                <c:pt idx="10">
                  <c:v>4.75</c:v>
                </c:pt>
                <c:pt idx="11">
                  <c:v>4</c:v>
                </c:pt>
                <c:pt idx="12">
                  <c:v>2.75</c:v>
                </c:pt>
                <c:pt idx="13">
                  <c:v>1</c:v>
                </c:pt>
                <c:pt idx="14">
                  <c:v>-1.25</c:v>
                </c:pt>
                <c:pt idx="15">
                  <c:v>-4</c:v>
                </c:pt>
                <c:pt idx="16">
                  <c:v>-7.25</c:v>
                </c:pt>
                <c:pt idx="17">
                  <c:v>-11</c:v>
                </c:pt>
                <c:pt idx="18">
                  <c:v>-15.25</c:v>
                </c:pt>
                <c:pt idx="19">
                  <c:v>-20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A48-4F2A-8FBB-15FA55FB3E43}"/>
            </c:ext>
          </c:extLst>
        </c:ser>
        <c:ser>
          <c:idx val="5"/>
          <c:order val="5"/>
          <c:val>
            <c:numRef>
              <c:f>Why!$J$11:$J$30</c:f>
              <c:numCache>
                <c:formatCode>0.00</c:formatCode>
                <c:ptCount val="20"/>
                <c:pt idx="0">
                  <c:v>-55</c:v>
                </c:pt>
                <c:pt idx="1">
                  <c:v>-30.25</c:v>
                </c:pt>
                <c:pt idx="2">
                  <c:v>-19.9375</c:v>
                </c:pt>
                <c:pt idx="3">
                  <c:v>-11</c:v>
                </c:pt>
                <c:pt idx="4">
                  <c:v>-3.4375</c:v>
                </c:pt>
                <c:pt idx="5">
                  <c:v>2.75</c:v>
                </c:pt>
                <c:pt idx="6">
                  <c:v>7.5625</c:v>
                </c:pt>
                <c:pt idx="7">
                  <c:v>11</c:v>
                </c:pt>
                <c:pt idx="8">
                  <c:v>13.0625</c:v>
                </c:pt>
                <c:pt idx="9">
                  <c:v>13.75</c:v>
                </c:pt>
                <c:pt idx="10">
                  <c:v>13.0625</c:v>
                </c:pt>
                <c:pt idx="11">
                  <c:v>11</c:v>
                </c:pt>
                <c:pt idx="12">
                  <c:v>7.5625</c:v>
                </c:pt>
                <c:pt idx="13">
                  <c:v>2.75</c:v>
                </c:pt>
                <c:pt idx="14">
                  <c:v>-3.4375</c:v>
                </c:pt>
                <c:pt idx="15">
                  <c:v>-11</c:v>
                </c:pt>
                <c:pt idx="16">
                  <c:v>-19.9375</c:v>
                </c:pt>
                <c:pt idx="17">
                  <c:v>-30.25</c:v>
                </c:pt>
                <c:pt idx="18">
                  <c:v>-41.9375</c:v>
                </c:pt>
                <c:pt idx="19">
                  <c:v>-55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A48-4F2A-8FBB-15FA55FB3E43}"/>
            </c:ext>
          </c:extLst>
        </c:ser>
        <c:ser>
          <c:idx val="6"/>
          <c:order val="6"/>
          <c:val>
            <c:numRef>
              <c:f>Why!$K$11:$K$30</c:f>
              <c:numCache>
                <c:formatCode>0.00</c:formatCode>
                <c:ptCount val="20"/>
                <c:pt idx="0">
                  <c:v>-80</c:v>
                </c:pt>
                <c:pt idx="1">
                  <c:v>-44</c:v>
                </c:pt>
                <c:pt idx="2">
                  <c:v>-29</c:v>
                </c:pt>
                <c:pt idx="3">
                  <c:v>-16</c:v>
                </c:pt>
                <c:pt idx="4">
                  <c:v>-5</c:v>
                </c:pt>
                <c:pt idx="5">
                  <c:v>4</c:v>
                </c:pt>
                <c:pt idx="6">
                  <c:v>11</c:v>
                </c:pt>
                <c:pt idx="7">
                  <c:v>16</c:v>
                </c:pt>
                <c:pt idx="8">
                  <c:v>19</c:v>
                </c:pt>
                <c:pt idx="9">
                  <c:v>20</c:v>
                </c:pt>
                <c:pt idx="10">
                  <c:v>19</c:v>
                </c:pt>
                <c:pt idx="11">
                  <c:v>16</c:v>
                </c:pt>
                <c:pt idx="12">
                  <c:v>11</c:v>
                </c:pt>
                <c:pt idx="13">
                  <c:v>4</c:v>
                </c:pt>
                <c:pt idx="14">
                  <c:v>-5</c:v>
                </c:pt>
                <c:pt idx="15">
                  <c:v>-16</c:v>
                </c:pt>
                <c:pt idx="16">
                  <c:v>-29</c:v>
                </c:pt>
                <c:pt idx="17">
                  <c:v>-44</c:v>
                </c:pt>
                <c:pt idx="18">
                  <c:v>-61</c:v>
                </c:pt>
                <c:pt idx="19">
                  <c:v>-80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A48-4F2A-8FBB-15FA55FB3E43}"/>
            </c:ext>
          </c:extLst>
        </c:ser>
        <c:ser>
          <c:idx val="7"/>
          <c:order val="7"/>
          <c:val>
            <c:numRef>
              <c:f>Why!$L$11:$L$30</c:f>
              <c:numCache>
                <c:formatCode>0.00</c:formatCode>
                <c:ptCount val="20"/>
                <c:pt idx="0">
                  <c:v>-95</c:v>
                </c:pt>
                <c:pt idx="1">
                  <c:v>-52.25</c:v>
                </c:pt>
                <c:pt idx="2">
                  <c:v>-34.4375</c:v>
                </c:pt>
                <c:pt idx="3">
                  <c:v>-19</c:v>
                </c:pt>
                <c:pt idx="4">
                  <c:v>-5.9375</c:v>
                </c:pt>
                <c:pt idx="5">
                  <c:v>4.75</c:v>
                </c:pt>
                <c:pt idx="6">
                  <c:v>13.0625</c:v>
                </c:pt>
                <c:pt idx="7">
                  <c:v>19</c:v>
                </c:pt>
                <c:pt idx="8">
                  <c:v>22.5625</c:v>
                </c:pt>
                <c:pt idx="9">
                  <c:v>23.75</c:v>
                </c:pt>
                <c:pt idx="10">
                  <c:v>22.5625</c:v>
                </c:pt>
                <c:pt idx="11">
                  <c:v>19</c:v>
                </c:pt>
                <c:pt idx="12">
                  <c:v>13.0625</c:v>
                </c:pt>
                <c:pt idx="13">
                  <c:v>4.75</c:v>
                </c:pt>
                <c:pt idx="14">
                  <c:v>-5.9375</c:v>
                </c:pt>
                <c:pt idx="15">
                  <c:v>-19</c:v>
                </c:pt>
                <c:pt idx="16">
                  <c:v>-34.4375</c:v>
                </c:pt>
                <c:pt idx="17">
                  <c:v>-52.25</c:v>
                </c:pt>
                <c:pt idx="18">
                  <c:v>-72.4375</c:v>
                </c:pt>
                <c:pt idx="19">
                  <c:v>-95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A48-4F2A-8FBB-15FA55FB3E43}"/>
            </c:ext>
          </c:extLst>
        </c:ser>
        <c:ser>
          <c:idx val="8"/>
          <c:order val="8"/>
          <c:val>
            <c:numRef>
              <c:f>Why!$M$11:$M$30</c:f>
              <c:numCache>
                <c:formatCode>0.00</c:formatCode>
                <c:ptCount val="20"/>
                <c:pt idx="0">
                  <c:v>-100</c:v>
                </c:pt>
                <c:pt idx="1">
                  <c:v>-55</c:v>
                </c:pt>
                <c:pt idx="2">
                  <c:v>-36.25</c:v>
                </c:pt>
                <c:pt idx="3">
                  <c:v>-20</c:v>
                </c:pt>
                <c:pt idx="4">
                  <c:v>-6.25</c:v>
                </c:pt>
                <c:pt idx="5">
                  <c:v>5</c:v>
                </c:pt>
                <c:pt idx="6">
                  <c:v>13.75</c:v>
                </c:pt>
                <c:pt idx="7">
                  <c:v>20</c:v>
                </c:pt>
                <c:pt idx="8">
                  <c:v>23.75</c:v>
                </c:pt>
                <c:pt idx="9">
                  <c:v>25</c:v>
                </c:pt>
                <c:pt idx="10">
                  <c:v>23.75</c:v>
                </c:pt>
                <c:pt idx="11">
                  <c:v>20</c:v>
                </c:pt>
                <c:pt idx="12">
                  <c:v>13.75</c:v>
                </c:pt>
                <c:pt idx="13">
                  <c:v>5</c:v>
                </c:pt>
                <c:pt idx="14">
                  <c:v>-6.25</c:v>
                </c:pt>
                <c:pt idx="15">
                  <c:v>-20</c:v>
                </c:pt>
                <c:pt idx="16">
                  <c:v>-36.25</c:v>
                </c:pt>
                <c:pt idx="17">
                  <c:v>-55</c:v>
                </c:pt>
                <c:pt idx="18">
                  <c:v>-76.25</c:v>
                </c:pt>
                <c:pt idx="19">
                  <c:v>-100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A48-4F2A-8FBB-15FA55FB3E43}"/>
            </c:ext>
          </c:extLst>
        </c:ser>
        <c:ser>
          <c:idx val="9"/>
          <c:order val="9"/>
          <c:val>
            <c:numRef>
              <c:f>Why!$N$11:$N$30</c:f>
              <c:numCache>
                <c:formatCode>0.00</c:formatCode>
                <c:ptCount val="20"/>
                <c:pt idx="0">
                  <c:v>-95</c:v>
                </c:pt>
                <c:pt idx="1">
                  <c:v>-52.25</c:v>
                </c:pt>
                <c:pt idx="2">
                  <c:v>-34.4375</c:v>
                </c:pt>
                <c:pt idx="3">
                  <c:v>-19</c:v>
                </c:pt>
                <c:pt idx="4">
                  <c:v>-5.9375</c:v>
                </c:pt>
                <c:pt idx="5">
                  <c:v>4.75</c:v>
                </c:pt>
                <c:pt idx="6">
                  <c:v>13.0625</c:v>
                </c:pt>
                <c:pt idx="7">
                  <c:v>19</c:v>
                </c:pt>
                <c:pt idx="8">
                  <c:v>22.5625</c:v>
                </c:pt>
                <c:pt idx="9">
                  <c:v>23.75</c:v>
                </c:pt>
                <c:pt idx="10">
                  <c:v>22.5625</c:v>
                </c:pt>
                <c:pt idx="11">
                  <c:v>19</c:v>
                </c:pt>
                <c:pt idx="12">
                  <c:v>13.0625</c:v>
                </c:pt>
                <c:pt idx="13">
                  <c:v>4.75</c:v>
                </c:pt>
                <c:pt idx="14">
                  <c:v>-5.9375</c:v>
                </c:pt>
                <c:pt idx="15">
                  <c:v>-19</c:v>
                </c:pt>
                <c:pt idx="16">
                  <c:v>-34.4375</c:v>
                </c:pt>
                <c:pt idx="17">
                  <c:v>-52.25</c:v>
                </c:pt>
                <c:pt idx="18">
                  <c:v>-72.4375</c:v>
                </c:pt>
                <c:pt idx="19">
                  <c:v>-95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A48-4F2A-8FBB-15FA55FB3E43}"/>
            </c:ext>
          </c:extLst>
        </c:ser>
        <c:ser>
          <c:idx val="10"/>
          <c:order val="10"/>
          <c:val>
            <c:numRef>
              <c:f>Why!$O$11:$O$30</c:f>
              <c:numCache>
                <c:formatCode>0.00</c:formatCode>
                <c:ptCount val="20"/>
                <c:pt idx="0">
                  <c:v>-80</c:v>
                </c:pt>
                <c:pt idx="1">
                  <c:v>-44</c:v>
                </c:pt>
                <c:pt idx="2">
                  <c:v>-29</c:v>
                </c:pt>
                <c:pt idx="3">
                  <c:v>-16</c:v>
                </c:pt>
                <c:pt idx="4">
                  <c:v>-5</c:v>
                </c:pt>
                <c:pt idx="5">
                  <c:v>4</c:v>
                </c:pt>
                <c:pt idx="6">
                  <c:v>11</c:v>
                </c:pt>
                <c:pt idx="7">
                  <c:v>16</c:v>
                </c:pt>
                <c:pt idx="8">
                  <c:v>19</c:v>
                </c:pt>
                <c:pt idx="9">
                  <c:v>20</c:v>
                </c:pt>
                <c:pt idx="10">
                  <c:v>19</c:v>
                </c:pt>
                <c:pt idx="11">
                  <c:v>16</c:v>
                </c:pt>
                <c:pt idx="12">
                  <c:v>11</c:v>
                </c:pt>
                <c:pt idx="13">
                  <c:v>4</c:v>
                </c:pt>
                <c:pt idx="14">
                  <c:v>-5</c:v>
                </c:pt>
                <c:pt idx="15">
                  <c:v>-16</c:v>
                </c:pt>
                <c:pt idx="16">
                  <c:v>-29</c:v>
                </c:pt>
                <c:pt idx="17">
                  <c:v>-44</c:v>
                </c:pt>
                <c:pt idx="18">
                  <c:v>-61</c:v>
                </c:pt>
                <c:pt idx="19">
                  <c:v>-80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A48-4F2A-8FBB-15FA55FB3E43}"/>
            </c:ext>
          </c:extLst>
        </c:ser>
        <c:ser>
          <c:idx val="11"/>
          <c:order val="11"/>
          <c:val>
            <c:numRef>
              <c:f>Why!$P$11:$P$30</c:f>
              <c:numCache>
                <c:formatCode>0.00</c:formatCode>
                <c:ptCount val="20"/>
                <c:pt idx="0">
                  <c:v>-55</c:v>
                </c:pt>
                <c:pt idx="1">
                  <c:v>-30.25</c:v>
                </c:pt>
                <c:pt idx="2">
                  <c:v>-19.9375</c:v>
                </c:pt>
                <c:pt idx="3">
                  <c:v>-11</c:v>
                </c:pt>
                <c:pt idx="4">
                  <c:v>-3.4375</c:v>
                </c:pt>
                <c:pt idx="5">
                  <c:v>2.75</c:v>
                </c:pt>
                <c:pt idx="6">
                  <c:v>7.5625</c:v>
                </c:pt>
                <c:pt idx="7">
                  <c:v>11</c:v>
                </c:pt>
                <c:pt idx="8">
                  <c:v>13.0625</c:v>
                </c:pt>
                <c:pt idx="9">
                  <c:v>13.75</c:v>
                </c:pt>
                <c:pt idx="10">
                  <c:v>13.0625</c:v>
                </c:pt>
                <c:pt idx="11">
                  <c:v>11</c:v>
                </c:pt>
                <c:pt idx="12">
                  <c:v>7.5625</c:v>
                </c:pt>
                <c:pt idx="13">
                  <c:v>2.75</c:v>
                </c:pt>
                <c:pt idx="14">
                  <c:v>-3.4375</c:v>
                </c:pt>
                <c:pt idx="15">
                  <c:v>-11</c:v>
                </c:pt>
                <c:pt idx="16">
                  <c:v>-19.9375</c:v>
                </c:pt>
                <c:pt idx="17">
                  <c:v>-30.25</c:v>
                </c:pt>
                <c:pt idx="18">
                  <c:v>-41.9375</c:v>
                </c:pt>
                <c:pt idx="19">
                  <c:v>-55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A48-4F2A-8FBB-15FA55FB3E43}"/>
            </c:ext>
          </c:extLst>
        </c:ser>
        <c:ser>
          <c:idx val="12"/>
          <c:order val="12"/>
          <c:val>
            <c:numRef>
              <c:f>Why!$Q$11:$Q$30</c:f>
              <c:numCache>
                <c:formatCode>0.00</c:formatCode>
                <c:ptCount val="20"/>
                <c:pt idx="0">
                  <c:v>-20</c:v>
                </c:pt>
                <c:pt idx="1">
                  <c:v>-11</c:v>
                </c:pt>
                <c:pt idx="2">
                  <c:v>-7.25</c:v>
                </c:pt>
                <c:pt idx="3">
                  <c:v>-4</c:v>
                </c:pt>
                <c:pt idx="4">
                  <c:v>-1.25</c:v>
                </c:pt>
                <c:pt idx="5">
                  <c:v>1</c:v>
                </c:pt>
                <c:pt idx="6">
                  <c:v>2.75</c:v>
                </c:pt>
                <c:pt idx="7">
                  <c:v>4</c:v>
                </c:pt>
                <c:pt idx="8">
                  <c:v>4.75</c:v>
                </c:pt>
                <c:pt idx="9">
                  <c:v>5</c:v>
                </c:pt>
                <c:pt idx="10">
                  <c:v>4.75</c:v>
                </c:pt>
                <c:pt idx="11">
                  <c:v>4</c:v>
                </c:pt>
                <c:pt idx="12">
                  <c:v>2.75</c:v>
                </c:pt>
                <c:pt idx="13">
                  <c:v>1</c:v>
                </c:pt>
                <c:pt idx="14">
                  <c:v>-1.25</c:v>
                </c:pt>
                <c:pt idx="15">
                  <c:v>-4</c:v>
                </c:pt>
                <c:pt idx="16">
                  <c:v>-7.25</c:v>
                </c:pt>
                <c:pt idx="17">
                  <c:v>-11</c:v>
                </c:pt>
                <c:pt idx="18">
                  <c:v>-15.25</c:v>
                </c:pt>
                <c:pt idx="19">
                  <c:v>-20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A48-4F2A-8FBB-15FA55FB3E43}"/>
            </c:ext>
          </c:extLst>
        </c:ser>
        <c:ser>
          <c:idx val="13"/>
          <c:order val="13"/>
          <c:val>
            <c:numRef>
              <c:f>Why!$R$11:$R$30</c:f>
              <c:numCache>
                <c:formatCode>0.00</c:formatCode>
                <c:ptCount val="20"/>
                <c:pt idx="0">
                  <c:v>25</c:v>
                </c:pt>
                <c:pt idx="1">
                  <c:v>13.75</c:v>
                </c:pt>
                <c:pt idx="2">
                  <c:v>9.0625</c:v>
                </c:pt>
                <c:pt idx="3">
                  <c:v>5</c:v>
                </c:pt>
                <c:pt idx="4">
                  <c:v>1.5625</c:v>
                </c:pt>
                <c:pt idx="5">
                  <c:v>-1.25</c:v>
                </c:pt>
                <c:pt idx="6">
                  <c:v>-3.4375</c:v>
                </c:pt>
                <c:pt idx="7">
                  <c:v>-5</c:v>
                </c:pt>
                <c:pt idx="8">
                  <c:v>-5.9375</c:v>
                </c:pt>
                <c:pt idx="9">
                  <c:v>-6.25</c:v>
                </c:pt>
                <c:pt idx="10">
                  <c:v>-5.9375</c:v>
                </c:pt>
                <c:pt idx="11">
                  <c:v>-5</c:v>
                </c:pt>
                <c:pt idx="12">
                  <c:v>-3.4375</c:v>
                </c:pt>
                <c:pt idx="13">
                  <c:v>-1.25</c:v>
                </c:pt>
                <c:pt idx="14">
                  <c:v>1.5625</c:v>
                </c:pt>
                <c:pt idx="15">
                  <c:v>5</c:v>
                </c:pt>
                <c:pt idx="16">
                  <c:v>9.0625</c:v>
                </c:pt>
                <c:pt idx="17">
                  <c:v>13.75</c:v>
                </c:pt>
                <c:pt idx="18">
                  <c:v>19.0625</c:v>
                </c:pt>
                <c:pt idx="19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A48-4F2A-8FBB-15FA55FB3E43}"/>
            </c:ext>
          </c:extLst>
        </c:ser>
        <c:ser>
          <c:idx val="14"/>
          <c:order val="14"/>
          <c:val>
            <c:numRef>
              <c:f>Why!$S$11:$S$30</c:f>
              <c:numCache>
                <c:formatCode>0.00</c:formatCode>
                <c:ptCount val="20"/>
                <c:pt idx="0">
                  <c:v>80</c:v>
                </c:pt>
                <c:pt idx="1">
                  <c:v>44</c:v>
                </c:pt>
                <c:pt idx="2">
                  <c:v>29</c:v>
                </c:pt>
                <c:pt idx="3">
                  <c:v>16</c:v>
                </c:pt>
                <c:pt idx="4">
                  <c:v>5</c:v>
                </c:pt>
                <c:pt idx="5">
                  <c:v>-4</c:v>
                </c:pt>
                <c:pt idx="6">
                  <c:v>-11</c:v>
                </c:pt>
                <c:pt idx="7">
                  <c:v>-16</c:v>
                </c:pt>
                <c:pt idx="8">
                  <c:v>-19</c:v>
                </c:pt>
                <c:pt idx="9">
                  <c:v>-20</c:v>
                </c:pt>
                <c:pt idx="10">
                  <c:v>-19</c:v>
                </c:pt>
                <c:pt idx="11">
                  <c:v>-16</c:v>
                </c:pt>
                <c:pt idx="12">
                  <c:v>-11</c:v>
                </c:pt>
                <c:pt idx="13">
                  <c:v>-4</c:v>
                </c:pt>
                <c:pt idx="14">
                  <c:v>5</c:v>
                </c:pt>
                <c:pt idx="15">
                  <c:v>16</c:v>
                </c:pt>
                <c:pt idx="16">
                  <c:v>29</c:v>
                </c:pt>
                <c:pt idx="17">
                  <c:v>44</c:v>
                </c:pt>
                <c:pt idx="18">
                  <c:v>61</c:v>
                </c:pt>
                <c:pt idx="19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A48-4F2A-8FBB-15FA55FB3E43}"/>
            </c:ext>
          </c:extLst>
        </c:ser>
        <c:ser>
          <c:idx val="15"/>
          <c:order val="15"/>
          <c:val>
            <c:numRef>
              <c:f>Why!$T$11:$T$30</c:f>
              <c:numCache>
                <c:formatCode>0.00</c:formatCode>
                <c:ptCount val="20"/>
                <c:pt idx="0">
                  <c:v>145</c:v>
                </c:pt>
                <c:pt idx="1">
                  <c:v>79.75</c:v>
                </c:pt>
                <c:pt idx="2">
                  <c:v>52.5625</c:v>
                </c:pt>
                <c:pt idx="3">
                  <c:v>29</c:v>
                </c:pt>
                <c:pt idx="4">
                  <c:v>9.0625</c:v>
                </c:pt>
                <c:pt idx="5">
                  <c:v>-7.25</c:v>
                </c:pt>
                <c:pt idx="6">
                  <c:v>-19.9375</c:v>
                </c:pt>
                <c:pt idx="7">
                  <c:v>-29</c:v>
                </c:pt>
                <c:pt idx="8">
                  <c:v>-34.4375</c:v>
                </c:pt>
                <c:pt idx="9">
                  <c:v>-36.25</c:v>
                </c:pt>
                <c:pt idx="10">
                  <c:v>-34.4375</c:v>
                </c:pt>
                <c:pt idx="11">
                  <c:v>-29</c:v>
                </c:pt>
                <c:pt idx="12">
                  <c:v>-19.9375</c:v>
                </c:pt>
                <c:pt idx="13">
                  <c:v>-7.25</c:v>
                </c:pt>
                <c:pt idx="14">
                  <c:v>9.0625</c:v>
                </c:pt>
                <c:pt idx="15">
                  <c:v>29</c:v>
                </c:pt>
                <c:pt idx="16">
                  <c:v>52.5625</c:v>
                </c:pt>
                <c:pt idx="17">
                  <c:v>79.75</c:v>
                </c:pt>
                <c:pt idx="18">
                  <c:v>110.5625</c:v>
                </c:pt>
                <c:pt idx="19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A48-4F2A-8FBB-15FA55FB3E43}"/>
            </c:ext>
          </c:extLst>
        </c:ser>
        <c:ser>
          <c:idx val="16"/>
          <c:order val="16"/>
          <c:val>
            <c:numRef>
              <c:f>Why!$U$11:$U$30</c:f>
              <c:numCache>
                <c:formatCode>0.00</c:formatCode>
                <c:ptCount val="20"/>
                <c:pt idx="0">
                  <c:v>220</c:v>
                </c:pt>
                <c:pt idx="1">
                  <c:v>121</c:v>
                </c:pt>
                <c:pt idx="2">
                  <c:v>79.75</c:v>
                </c:pt>
                <c:pt idx="3">
                  <c:v>44</c:v>
                </c:pt>
                <c:pt idx="4">
                  <c:v>13.75</c:v>
                </c:pt>
                <c:pt idx="5">
                  <c:v>-11</c:v>
                </c:pt>
                <c:pt idx="6">
                  <c:v>-30.25</c:v>
                </c:pt>
                <c:pt idx="7">
                  <c:v>-44</c:v>
                </c:pt>
                <c:pt idx="8">
                  <c:v>-52.25</c:v>
                </c:pt>
                <c:pt idx="9">
                  <c:v>-55</c:v>
                </c:pt>
                <c:pt idx="10">
                  <c:v>-52.25</c:v>
                </c:pt>
                <c:pt idx="11">
                  <c:v>-44</c:v>
                </c:pt>
                <c:pt idx="12">
                  <c:v>-30.25</c:v>
                </c:pt>
                <c:pt idx="13">
                  <c:v>-11</c:v>
                </c:pt>
                <c:pt idx="14">
                  <c:v>13.75</c:v>
                </c:pt>
                <c:pt idx="15">
                  <c:v>44</c:v>
                </c:pt>
                <c:pt idx="16">
                  <c:v>79.75</c:v>
                </c:pt>
                <c:pt idx="17">
                  <c:v>121</c:v>
                </c:pt>
                <c:pt idx="18">
                  <c:v>167.75</c:v>
                </c:pt>
                <c:pt idx="19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A48-4F2A-8FBB-15FA55FB3E43}"/>
            </c:ext>
          </c:extLst>
        </c:ser>
        <c:ser>
          <c:idx val="17"/>
          <c:order val="17"/>
          <c:val>
            <c:numRef>
              <c:f>Why!$V$11:$V$30</c:f>
              <c:numCache>
                <c:formatCode>0.00</c:formatCode>
                <c:ptCount val="20"/>
                <c:pt idx="0">
                  <c:v>305</c:v>
                </c:pt>
                <c:pt idx="1">
                  <c:v>167.75</c:v>
                </c:pt>
                <c:pt idx="2">
                  <c:v>110.5625</c:v>
                </c:pt>
                <c:pt idx="3">
                  <c:v>61</c:v>
                </c:pt>
                <c:pt idx="4">
                  <c:v>19.0625</c:v>
                </c:pt>
                <c:pt idx="5">
                  <c:v>-15.25</c:v>
                </c:pt>
                <c:pt idx="6">
                  <c:v>-41.9375</c:v>
                </c:pt>
                <c:pt idx="7">
                  <c:v>-61</c:v>
                </c:pt>
                <c:pt idx="8">
                  <c:v>-72.4375</c:v>
                </c:pt>
                <c:pt idx="9">
                  <c:v>-76.25</c:v>
                </c:pt>
                <c:pt idx="10">
                  <c:v>-72.4375</c:v>
                </c:pt>
                <c:pt idx="11">
                  <c:v>-61</c:v>
                </c:pt>
                <c:pt idx="12">
                  <c:v>-41.9375</c:v>
                </c:pt>
                <c:pt idx="13">
                  <c:v>-15.25</c:v>
                </c:pt>
                <c:pt idx="14">
                  <c:v>19.0625</c:v>
                </c:pt>
                <c:pt idx="15">
                  <c:v>61</c:v>
                </c:pt>
                <c:pt idx="16">
                  <c:v>110.5625</c:v>
                </c:pt>
                <c:pt idx="17">
                  <c:v>167.75</c:v>
                </c:pt>
                <c:pt idx="18">
                  <c:v>232.5625</c:v>
                </c:pt>
                <c:pt idx="19">
                  <c:v>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A48-4F2A-8FBB-15FA55FB3E43}"/>
            </c:ext>
          </c:extLst>
        </c:ser>
        <c:ser>
          <c:idx val="18"/>
          <c:order val="18"/>
          <c:val>
            <c:numRef>
              <c:f>Why!$W$11:$W$30</c:f>
              <c:numCache>
                <c:formatCode>0.00</c:formatCode>
                <c:ptCount val="20"/>
                <c:pt idx="0">
                  <c:v>400</c:v>
                </c:pt>
                <c:pt idx="1">
                  <c:v>220</c:v>
                </c:pt>
                <c:pt idx="2">
                  <c:v>145</c:v>
                </c:pt>
                <c:pt idx="3">
                  <c:v>80</c:v>
                </c:pt>
                <c:pt idx="4">
                  <c:v>25</c:v>
                </c:pt>
                <c:pt idx="5">
                  <c:v>-20</c:v>
                </c:pt>
                <c:pt idx="6">
                  <c:v>-55</c:v>
                </c:pt>
                <c:pt idx="7">
                  <c:v>-80</c:v>
                </c:pt>
                <c:pt idx="8">
                  <c:v>-95</c:v>
                </c:pt>
                <c:pt idx="9">
                  <c:v>-100</c:v>
                </c:pt>
                <c:pt idx="10">
                  <c:v>-95</c:v>
                </c:pt>
                <c:pt idx="11">
                  <c:v>-80</c:v>
                </c:pt>
                <c:pt idx="12">
                  <c:v>-55</c:v>
                </c:pt>
                <c:pt idx="13">
                  <c:v>-20</c:v>
                </c:pt>
                <c:pt idx="14">
                  <c:v>25</c:v>
                </c:pt>
                <c:pt idx="15">
                  <c:v>80</c:v>
                </c:pt>
                <c:pt idx="16">
                  <c:v>145</c:v>
                </c:pt>
                <c:pt idx="17">
                  <c:v>220</c:v>
                </c:pt>
                <c:pt idx="18">
                  <c:v>305</c:v>
                </c:pt>
                <c:pt idx="19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A48-4F2A-8FBB-15FA55FB3E43}"/>
            </c:ext>
          </c:extLst>
        </c:ser>
        <c:bandFmts/>
        <c:axId val="430076368"/>
        <c:axId val="430078720"/>
        <c:axId val="371874664"/>
      </c:surface3DChart>
      <c:catAx>
        <c:axId val="430076368"/>
        <c:scaling>
          <c:orientation val="minMax"/>
        </c:scaling>
        <c:delete val="1"/>
        <c:axPos val="b"/>
        <c:majorTickMark val="out"/>
        <c:minorTickMark val="none"/>
        <c:tickLblPos val="nextTo"/>
        <c:crossAx val="430078720"/>
        <c:crosses val="autoZero"/>
        <c:auto val="1"/>
        <c:lblAlgn val="ctr"/>
        <c:lblOffset val="100"/>
        <c:noMultiLvlLbl val="0"/>
      </c:catAx>
      <c:valAx>
        <c:axId val="430078720"/>
        <c:scaling>
          <c:orientation val="minMax"/>
        </c:scaling>
        <c:delete val="1"/>
        <c:axPos val="r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numFmt formatCode="0.00" sourceLinked="1"/>
        <c:majorTickMark val="out"/>
        <c:minorTickMark val="none"/>
        <c:tickLblPos val="nextTo"/>
        <c:crossAx val="430076368"/>
        <c:crosses val="autoZero"/>
        <c:crossBetween val="midCat"/>
      </c:valAx>
      <c:serAx>
        <c:axId val="371874664"/>
        <c:scaling>
          <c:orientation val="minMax"/>
        </c:scaling>
        <c:delete val="1"/>
        <c:axPos val="b"/>
        <c:majorTickMark val="out"/>
        <c:minorTickMark val="none"/>
        <c:tickLblPos val="nextTo"/>
        <c:crossAx val="430078720"/>
        <c:crosses val="autoZero"/>
      </c:serAx>
    </c:plotArea>
    <c:plotVisOnly val="1"/>
    <c:dispBlanksAs val="zero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trlProps/ctrlProp1.xml><?xml version="1.0" encoding="utf-8"?>
<formControlPr xmlns="http://schemas.microsoft.com/office/spreadsheetml/2009/9/main" objectType="Scroll" dx="15" fmlaLink="$F$40" horiz="1" max="10" page="10" val="5"/>
</file>

<file path=xl/ctrlProps/ctrlProp2.xml><?xml version="1.0" encoding="utf-8"?>
<formControlPr xmlns="http://schemas.microsoft.com/office/spreadsheetml/2009/9/main" objectType="Scroll" dx="15" fmlaLink="$F$41" horiz="1" max="10" page="10" val="5"/>
</file>

<file path=xl/ctrlProps/ctrlProp3.xml><?xml version="1.0" encoding="utf-8"?>
<formControlPr xmlns="http://schemas.microsoft.com/office/spreadsheetml/2009/9/main" objectType="CheckBox" checked="Checked" fmlaLink="$D$10" lockText="1" noThreeD="1"/>
</file>

<file path=xl/ctrlProps/ctrlProp4.xml><?xml version="1.0" encoding="utf-8"?>
<formControlPr xmlns="http://schemas.microsoft.com/office/spreadsheetml/2009/9/main" objectType="CheckBox" checked="Checked" fmlaLink="$D$11" lockText="1" noThreeD="1"/>
</file>

<file path=xl/ctrlProps/ctrlProp5.xml><?xml version="1.0" encoding="utf-8"?>
<formControlPr xmlns="http://schemas.microsoft.com/office/spreadsheetml/2009/9/main" objectType="CheckBox" checked="Checked" fmlaLink="$D$12" lockText="1" noThreeD="1"/>
</file>

<file path=xl/ctrlProps/ctrlProp6.xml><?xml version="1.0" encoding="utf-8"?>
<formControlPr xmlns="http://schemas.microsoft.com/office/spreadsheetml/2009/9/main" objectType="CheckBox" checked="Checked" fmlaLink="$D$13" lockText="1" noThreeD="1"/>
</file>

<file path=xl/ctrlProps/ctrlProp7.xml><?xml version="1.0" encoding="utf-8"?>
<formControlPr xmlns="http://schemas.microsoft.com/office/spreadsheetml/2009/9/main" objectType="CheckBox" fmlaLink="$D$14" lockText="1" noThreeD="1"/>
</file>

<file path=xl/ctrlProps/ctrlProp8.xml><?xml version="1.0" encoding="utf-8"?>
<formControlPr xmlns="http://schemas.microsoft.com/office/spreadsheetml/2009/9/main" objectType="CheckBox" checked="Checked" fmlaLink="$D$15" lockText="1" noThreeD="1"/>
</file>

<file path=xl/ctrlProps/ctrlProp9.xml><?xml version="1.0" encoding="utf-8"?>
<formControlPr xmlns="http://schemas.microsoft.com/office/spreadsheetml/2009/9/main" objectType="CheckBox" checked="Checked" fmlaLink="$D$16" lockText="1" noThreeD="1"/>
</file>

<file path=xl/ctrlProps/ctrlProp10.xml><?xml version="1.0" encoding="utf-8"?>
<formControlPr xmlns="http://schemas.microsoft.com/office/spreadsheetml/2009/9/main" objectType="CheckBox" checked="Checked" fmlaLink="$D$17" lockText="1" noThreeD="1"/>
</file>

<file path=xl/ctrlProps/ctrlProp11.xml><?xml version="1.0" encoding="utf-8"?>
<formControlPr xmlns="http://schemas.microsoft.com/office/spreadsheetml/2009/9/main" objectType="CheckBox" checked="Checked" fmlaLink="$D$18" lockText="1" noThreeD="1"/>
</file>

<file path=xl/ctrlProps/ctrlProp12.xml><?xml version="1.0" encoding="utf-8"?>
<formControlPr xmlns="http://schemas.microsoft.com/office/spreadsheetml/2009/9/main" objectType="CheckBox" checked="Checked" fmlaLink="$D$19" lockText="1" noThreeD="1"/>
</file>

<file path=xl/ctrlProps/ctrlProp13.xml><?xml version="1.0" encoding="utf-8"?>
<formControlPr xmlns="http://schemas.microsoft.com/office/spreadsheetml/2009/9/main" objectType="CheckBox" checked="Checked" fmlaLink="$D$10" lockText="1" noThreeD="1"/>
</file>

<file path=xl/ctrlProps/ctrlProp14.xml><?xml version="1.0" encoding="utf-8"?>
<formControlPr xmlns="http://schemas.microsoft.com/office/spreadsheetml/2009/9/main" objectType="CheckBox" checked="Checked" fmlaLink="$D$11" lockText="1" noThreeD="1"/>
</file>

<file path=xl/ctrlProps/ctrlProp15.xml><?xml version="1.0" encoding="utf-8"?>
<formControlPr xmlns="http://schemas.microsoft.com/office/spreadsheetml/2009/9/main" objectType="CheckBox" checked="Checked" fmlaLink="$D$12" lockText="1" noThreeD="1"/>
</file>

<file path=xl/ctrlProps/ctrlProp16.xml><?xml version="1.0" encoding="utf-8"?>
<formControlPr xmlns="http://schemas.microsoft.com/office/spreadsheetml/2009/9/main" objectType="CheckBox" checked="Checked" fmlaLink="$D$13" lockText="1" noThreeD="1"/>
</file>

<file path=xl/ctrlProps/ctrlProp17.xml><?xml version="1.0" encoding="utf-8"?>
<formControlPr xmlns="http://schemas.microsoft.com/office/spreadsheetml/2009/9/main" objectType="CheckBox" fmlaLink="$D$14" lockText="1" noThreeD="1"/>
</file>

<file path=xl/ctrlProps/ctrlProp18.xml><?xml version="1.0" encoding="utf-8"?>
<formControlPr xmlns="http://schemas.microsoft.com/office/spreadsheetml/2009/9/main" objectType="CheckBox" checked="Checked" fmlaLink="$D$15" lockText="1" noThreeD="1"/>
</file>

<file path=xl/ctrlProps/ctrlProp19.xml><?xml version="1.0" encoding="utf-8"?>
<formControlPr xmlns="http://schemas.microsoft.com/office/spreadsheetml/2009/9/main" objectType="CheckBox" checked="Checked" fmlaLink="$D$16" lockText="1" noThreeD="1"/>
</file>

<file path=xl/ctrlProps/ctrlProp20.xml><?xml version="1.0" encoding="utf-8"?>
<formControlPr xmlns="http://schemas.microsoft.com/office/spreadsheetml/2009/9/main" objectType="CheckBox" checked="Checked" fmlaLink="$D$17" lockText="1" noThreeD="1"/>
</file>

<file path=xl/ctrlProps/ctrlProp21.xml><?xml version="1.0" encoding="utf-8"?>
<formControlPr xmlns="http://schemas.microsoft.com/office/spreadsheetml/2009/9/main" objectType="CheckBox" checked="Checked" fmlaLink="$D$18" lockText="1" noThreeD="1"/>
</file>

<file path=xl/ctrlProps/ctrlProp22.xml><?xml version="1.0" encoding="utf-8"?>
<formControlPr xmlns="http://schemas.microsoft.com/office/spreadsheetml/2009/9/main" objectType="CheckBox" checked="Checked" fmlaLink="$D$19" lockText="1" noThreeD="1"/>
</file>

<file path=xl/customData/_rels/itemProps1.xml.rels><?xml version="1.0" encoding="UTF-8" standalone="yes"?>
<Relationships xmlns="http://schemas.openxmlformats.org/package/2006/relationships"><Relationship Id="rId1" Type="http://schemas.microsoft.com/office/2007/relationships/customData" Target="item1.data"/></Relationships>
</file>

<file path=xl/customData/itemProps1.xml><?xml version="1.0" encoding="utf-8"?>
<datastoreItem xmlns="http://schemas.microsoft.com/office/spreadsheetml/2009/9/main" id="Microsoft_SQLServer_AnalysisServices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</xdr:row>
      <xdr:rowOff>9526</xdr:rowOff>
    </xdr:from>
    <xdr:to>
      <xdr:col>2</xdr:col>
      <xdr:colOff>381000</xdr:colOff>
      <xdr:row>12</xdr:row>
      <xdr:rowOff>20242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723901"/>
          <a:ext cx="4048125" cy="17252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63500</xdr:colOff>
      <xdr:row>39</xdr:row>
      <xdr:rowOff>36419</xdr:rowOff>
    </xdr:from>
    <xdr:to>
      <xdr:col>22</xdr:col>
      <xdr:colOff>466911</xdr:colOff>
      <xdr:row>60</xdr:row>
      <xdr:rowOff>103654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457200</xdr:colOff>
          <xdr:row>39</xdr:row>
          <xdr:rowOff>57150</xdr:rowOff>
        </xdr:from>
        <xdr:to>
          <xdr:col>9</xdr:col>
          <xdr:colOff>355600</xdr:colOff>
          <xdr:row>39</xdr:row>
          <xdr:rowOff>222250</xdr:rowOff>
        </xdr:to>
        <xdr:sp macro="" textlink="">
          <xdr:nvSpPr>
            <xdr:cNvPr id="18433" name="Scroll Bar 1" hidden="1">
              <a:extLst>
                <a:ext uri="{63B3BB69-23CF-44E3-9099-C40C66FF867C}">
                  <a14:compatExt spid="_x0000_s18433"/>
                </a:ext>
                <a:ext uri="{FF2B5EF4-FFF2-40B4-BE49-F238E27FC236}">
                  <a16:creationId xmlns:a16="http://schemas.microsoft.com/office/drawing/2014/main" id="{00000000-0008-0000-0100-00000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457200</xdr:colOff>
          <xdr:row>40</xdr:row>
          <xdr:rowOff>0</xdr:rowOff>
        </xdr:from>
        <xdr:to>
          <xdr:col>9</xdr:col>
          <xdr:colOff>355600</xdr:colOff>
          <xdr:row>40</xdr:row>
          <xdr:rowOff>165100</xdr:rowOff>
        </xdr:to>
        <xdr:sp macro="" textlink="">
          <xdr:nvSpPr>
            <xdr:cNvPr id="18434" name="Scroll Bar 2" hidden="1">
              <a:extLst>
                <a:ext uri="{63B3BB69-23CF-44E3-9099-C40C66FF867C}">
                  <a14:compatExt spid="_x0000_s18434"/>
                </a:ext>
                <a:ext uri="{FF2B5EF4-FFF2-40B4-BE49-F238E27FC236}">
                  <a16:creationId xmlns:a16="http://schemas.microsoft.com/office/drawing/2014/main" id="{00000000-0008-0000-0100-000002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752475</xdr:colOff>
      <xdr:row>10</xdr:row>
      <xdr:rowOff>19050</xdr:rowOff>
    </xdr:from>
    <xdr:to>
      <xdr:col>12</xdr:col>
      <xdr:colOff>532457</xdr:colOff>
      <xdr:row>16</xdr:row>
      <xdr:rowOff>57002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58200" y="2219325"/>
          <a:ext cx="7542857" cy="118095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31750</xdr:colOff>
          <xdr:row>8</xdr:row>
          <xdr:rowOff>152400</xdr:rowOff>
        </xdr:from>
        <xdr:to>
          <xdr:col>2</xdr:col>
          <xdr:colOff>457200</xdr:colOff>
          <xdr:row>10</xdr:row>
          <xdr:rowOff>50800</xdr:rowOff>
        </xdr:to>
        <xdr:sp macro="" textlink="">
          <xdr:nvSpPr>
            <xdr:cNvPr id="41985" name="Check Box 1" hidden="1">
              <a:extLst>
                <a:ext uri="{63B3BB69-23CF-44E3-9099-C40C66FF867C}">
                  <a14:compatExt spid="_x0000_s41985"/>
                </a:ext>
                <a:ext uri="{FF2B5EF4-FFF2-40B4-BE49-F238E27FC236}">
                  <a16:creationId xmlns:a16="http://schemas.microsoft.com/office/drawing/2014/main" id="{00000000-0008-0000-0F00-000001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9</xdr:row>
          <xdr:rowOff>171450</xdr:rowOff>
        </xdr:from>
        <xdr:to>
          <xdr:col>3</xdr:col>
          <xdr:colOff>0</xdr:colOff>
          <xdr:row>11</xdr:row>
          <xdr:rowOff>69850</xdr:rowOff>
        </xdr:to>
        <xdr:sp macro="" textlink="">
          <xdr:nvSpPr>
            <xdr:cNvPr id="41986" name="Check Box 2" hidden="1">
              <a:extLst>
                <a:ext uri="{63B3BB69-23CF-44E3-9099-C40C66FF867C}">
                  <a14:compatExt spid="_x0000_s41986"/>
                </a:ext>
                <a:ext uri="{FF2B5EF4-FFF2-40B4-BE49-F238E27FC236}">
                  <a16:creationId xmlns:a16="http://schemas.microsoft.com/office/drawing/2014/main" id="{00000000-0008-0000-0F00-000002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10</xdr:row>
          <xdr:rowOff>165100</xdr:rowOff>
        </xdr:from>
        <xdr:to>
          <xdr:col>3</xdr:col>
          <xdr:colOff>0</xdr:colOff>
          <xdr:row>12</xdr:row>
          <xdr:rowOff>57150</xdr:rowOff>
        </xdr:to>
        <xdr:sp macro="" textlink="">
          <xdr:nvSpPr>
            <xdr:cNvPr id="41987" name="Check Box 3" hidden="1">
              <a:extLst>
                <a:ext uri="{63B3BB69-23CF-44E3-9099-C40C66FF867C}">
                  <a14:compatExt spid="_x0000_s41987"/>
                </a:ext>
                <a:ext uri="{FF2B5EF4-FFF2-40B4-BE49-F238E27FC236}">
                  <a16:creationId xmlns:a16="http://schemas.microsoft.com/office/drawing/2014/main" id="{00000000-0008-0000-0F00-000003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11</xdr:row>
          <xdr:rowOff>171450</xdr:rowOff>
        </xdr:from>
        <xdr:to>
          <xdr:col>3</xdr:col>
          <xdr:colOff>0</xdr:colOff>
          <xdr:row>13</xdr:row>
          <xdr:rowOff>69850</xdr:rowOff>
        </xdr:to>
        <xdr:sp macro="" textlink="">
          <xdr:nvSpPr>
            <xdr:cNvPr id="41988" name="Check Box 4" hidden="1">
              <a:extLst>
                <a:ext uri="{63B3BB69-23CF-44E3-9099-C40C66FF867C}">
                  <a14:compatExt spid="_x0000_s41988"/>
                </a:ext>
                <a:ext uri="{FF2B5EF4-FFF2-40B4-BE49-F238E27FC236}">
                  <a16:creationId xmlns:a16="http://schemas.microsoft.com/office/drawing/2014/main" id="{00000000-0008-0000-0F00-000004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12</xdr:row>
          <xdr:rowOff>165100</xdr:rowOff>
        </xdr:from>
        <xdr:to>
          <xdr:col>3</xdr:col>
          <xdr:colOff>0</xdr:colOff>
          <xdr:row>14</xdr:row>
          <xdr:rowOff>57150</xdr:rowOff>
        </xdr:to>
        <xdr:sp macro="" textlink="">
          <xdr:nvSpPr>
            <xdr:cNvPr id="41989" name="Check Box 5" hidden="1">
              <a:extLst>
                <a:ext uri="{63B3BB69-23CF-44E3-9099-C40C66FF867C}">
                  <a14:compatExt spid="_x0000_s41989"/>
                </a:ext>
                <a:ext uri="{FF2B5EF4-FFF2-40B4-BE49-F238E27FC236}">
                  <a16:creationId xmlns:a16="http://schemas.microsoft.com/office/drawing/2014/main" id="{00000000-0008-0000-0F00-000005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50800</xdr:colOff>
          <xdr:row>13</xdr:row>
          <xdr:rowOff>171450</xdr:rowOff>
        </xdr:from>
        <xdr:to>
          <xdr:col>3</xdr:col>
          <xdr:colOff>12700</xdr:colOff>
          <xdr:row>15</xdr:row>
          <xdr:rowOff>69850</xdr:rowOff>
        </xdr:to>
        <xdr:sp macro="" textlink="">
          <xdr:nvSpPr>
            <xdr:cNvPr id="41990" name="Check Box 6" hidden="1">
              <a:extLst>
                <a:ext uri="{63B3BB69-23CF-44E3-9099-C40C66FF867C}">
                  <a14:compatExt spid="_x0000_s41990"/>
                </a:ext>
                <a:ext uri="{FF2B5EF4-FFF2-40B4-BE49-F238E27FC236}">
                  <a16:creationId xmlns:a16="http://schemas.microsoft.com/office/drawing/2014/main" id="{00000000-0008-0000-0F00-000006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50800</xdr:colOff>
          <xdr:row>14</xdr:row>
          <xdr:rowOff>171450</xdr:rowOff>
        </xdr:from>
        <xdr:to>
          <xdr:col>3</xdr:col>
          <xdr:colOff>12700</xdr:colOff>
          <xdr:row>16</xdr:row>
          <xdr:rowOff>69850</xdr:rowOff>
        </xdr:to>
        <xdr:sp macro="" textlink="">
          <xdr:nvSpPr>
            <xdr:cNvPr id="41991" name="Check Box 7" hidden="1">
              <a:extLst>
                <a:ext uri="{63B3BB69-23CF-44E3-9099-C40C66FF867C}">
                  <a14:compatExt spid="_x0000_s41991"/>
                </a:ext>
                <a:ext uri="{FF2B5EF4-FFF2-40B4-BE49-F238E27FC236}">
                  <a16:creationId xmlns:a16="http://schemas.microsoft.com/office/drawing/2014/main" id="{00000000-0008-0000-0F00-000007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50800</xdr:colOff>
          <xdr:row>15</xdr:row>
          <xdr:rowOff>171450</xdr:rowOff>
        </xdr:from>
        <xdr:to>
          <xdr:col>3</xdr:col>
          <xdr:colOff>12700</xdr:colOff>
          <xdr:row>17</xdr:row>
          <xdr:rowOff>69850</xdr:rowOff>
        </xdr:to>
        <xdr:sp macro="" textlink="">
          <xdr:nvSpPr>
            <xdr:cNvPr id="41992" name="Check Box 8" hidden="1">
              <a:extLst>
                <a:ext uri="{63B3BB69-23CF-44E3-9099-C40C66FF867C}">
                  <a14:compatExt spid="_x0000_s41992"/>
                </a:ext>
                <a:ext uri="{FF2B5EF4-FFF2-40B4-BE49-F238E27FC236}">
                  <a16:creationId xmlns:a16="http://schemas.microsoft.com/office/drawing/2014/main" id="{00000000-0008-0000-0F00-000008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50800</xdr:colOff>
          <xdr:row>16</xdr:row>
          <xdr:rowOff>165100</xdr:rowOff>
        </xdr:from>
        <xdr:to>
          <xdr:col>3</xdr:col>
          <xdr:colOff>12700</xdr:colOff>
          <xdr:row>18</xdr:row>
          <xdr:rowOff>57150</xdr:rowOff>
        </xdr:to>
        <xdr:sp macro="" textlink="">
          <xdr:nvSpPr>
            <xdr:cNvPr id="41993" name="Check Box 9" hidden="1">
              <a:extLst>
                <a:ext uri="{63B3BB69-23CF-44E3-9099-C40C66FF867C}">
                  <a14:compatExt spid="_x0000_s41993"/>
                </a:ext>
                <a:ext uri="{FF2B5EF4-FFF2-40B4-BE49-F238E27FC236}">
                  <a16:creationId xmlns:a16="http://schemas.microsoft.com/office/drawing/2014/main" id="{00000000-0008-0000-0F00-000009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50800</xdr:colOff>
          <xdr:row>17</xdr:row>
          <xdr:rowOff>171450</xdr:rowOff>
        </xdr:from>
        <xdr:to>
          <xdr:col>3</xdr:col>
          <xdr:colOff>12700</xdr:colOff>
          <xdr:row>19</xdr:row>
          <xdr:rowOff>69850</xdr:rowOff>
        </xdr:to>
        <xdr:sp macro="" textlink="">
          <xdr:nvSpPr>
            <xdr:cNvPr id="41994" name="Check Box 10" hidden="1">
              <a:extLst>
                <a:ext uri="{63B3BB69-23CF-44E3-9099-C40C66FF867C}">
                  <a14:compatExt spid="_x0000_s41994"/>
                </a:ext>
                <a:ext uri="{FF2B5EF4-FFF2-40B4-BE49-F238E27FC236}">
                  <a16:creationId xmlns:a16="http://schemas.microsoft.com/office/drawing/2014/main" id="{00000000-0008-0000-0F00-00000A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31750</xdr:colOff>
          <xdr:row>8</xdr:row>
          <xdr:rowOff>152400</xdr:rowOff>
        </xdr:from>
        <xdr:to>
          <xdr:col>2</xdr:col>
          <xdr:colOff>457200</xdr:colOff>
          <xdr:row>10</xdr:row>
          <xdr:rowOff>50800</xdr:rowOff>
        </xdr:to>
        <xdr:sp macro="" textlink="">
          <xdr:nvSpPr>
            <xdr:cNvPr id="24577" name="Check Box 1" hidden="1">
              <a:extLst>
                <a:ext uri="{63B3BB69-23CF-44E3-9099-C40C66FF867C}">
                  <a14:compatExt spid="_x0000_s24577"/>
                </a:ext>
                <a:ext uri="{FF2B5EF4-FFF2-40B4-BE49-F238E27FC236}">
                  <a16:creationId xmlns:a16="http://schemas.microsoft.com/office/drawing/2014/main" id="{00000000-0008-0000-1000-000001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9</xdr:row>
          <xdr:rowOff>171450</xdr:rowOff>
        </xdr:from>
        <xdr:to>
          <xdr:col>3</xdr:col>
          <xdr:colOff>0</xdr:colOff>
          <xdr:row>11</xdr:row>
          <xdr:rowOff>69850</xdr:rowOff>
        </xdr:to>
        <xdr:sp macro="" textlink="">
          <xdr:nvSpPr>
            <xdr:cNvPr id="24578" name="Check Box 2" hidden="1">
              <a:extLst>
                <a:ext uri="{63B3BB69-23CF-44E3-9099-C40C66FF867C}">
                  <a14:compatExt spid="_x0000_s24578"/>
                </a:ext>
                <a:ext uri="{FF2B5EF4-FFF2-40B4-BE49-F238E27FC236}">
                  <a16:creationId xmlns:a16="http://schemas.microsoft.com/office/drawing/2014/main" id="{00000000-0008-0000-1000-000002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10</xdr:row>
          <xdr:rowOff>165100</xdr:rowOff>
        </xdr:from>
        <xdr:to>
          <xdr:col>3</xdr:col>
          <xdr:colOff>0</xdr:colOff>
          <xdr:row>12</xdr:row>
          <xdr:rowOff>57150</xdr:rowOff>
        </xdr:to>
        <xdr:sp macro="" textlink="">
          <xdr:nvSpPr>
            <xdr:cNvPr id="24579" name="Check Box 3" hidden="1">
              <a:extLst>
                <a:ext uri="{63B3BB69-23CF-44E3-9099-C40C66FF867C}">
                  <a14:compatExt spid="_x0000_s24579"/>
                </a:ext>
                <a:ext uri="{FF2B5EF4-FFF2-40B4-BE49-F238E27FC236}">
                  <a16:creationId xmlns:a16="http://schemas.microsoft.com/office/drawing/2014/main" id="{00000000-0008-0000-1000-000003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11</xdr:row>
          <xdr:rowOff>171450</xdr:rowOff>
        </xdr:from>
        <xdr:to>
          <xdr:col>3</xdr:col>
          <xdr:colOff>0</xdr:colOff>
          <xdr:row>13</xdr:row>
          <xdr:rowOff>69850</xdr:rowOff>
        </xdr:to>
        <xdr:sp macro="" textlink="">
          <xdr:nvSpPr>
            <xdr:cNvPr id="24580" name="Check Box 4" hidden="1">
              <a:extLst>
                <a:ext uri="{63B3BB69-23CF-44E3-9099-C40C66FF867C}">
                  <a14:compatExt spid="_x0000_s24580"/>
                </a:ext>
                <a:ext uri="{FF2B5EF4-FFF2-40B4-BE49-F238E27FC236}">
                  <a16:creationId xmlns:a16="http://schemas.microsoft.com/office/drawing/2014/main" id="{00000000-0008-0000-1000-000004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12</xdr:row>
          <xdr:rowOff>158750</xdr:rowOff>
        </xdr:from>
        <xdr:to>
          <xdr:col>3</xdr:col>
          <xdr:colOff>0</xdr:colOff>
          <xdr:row>14</xdr:row>
          <xdr:rowOff>63500</xdr:rowOff>
        </xdr:to>
        <xdr:sp macro="" textlink="">
          <xdr:nvSpPr>
            <xdr:cNvPr id="24581" name="Check Box 5" hidden="1">
              <a:extLst>
                <a:ext uri="{63B3BB69-23CF-44E3-9099-C40C66FF867C}">
                  <a14:compatExt spid="_x0000_s24581"/>
                </a:ext>
                <a:ext uri="{FF2B5EF4-FFF2-40B4-BE49-F238E27FC236}">
                  <a16:creationId xmlns:a16="http://schemas.microsoft.com/office/drawing/2014/main" id="{00000000-0008-0000-1000-000005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50800</xdr:colOff>
          <xdr:row>13</xdr:row>
          <xdr:rowOff>171450</xdr:rowOff>
        </xdr:from>
        <xdr:to>
          <xdr:col>3</xdr:col>
          <xdr:colOff>12700</xdr:colOff>
          <xdr:row>15</xdr:row>
          <xdr:rowOff>69850</xdr:rowOff>
        </xdr:to>
        <xdr:sp macro="" textlink="">
          <xdr:nvSpPr>
            <xdr:cNvPr id="24582" name="Check Box 6" hidden="1">
              <a:extLst>
                <a:ext uri="{63B3BB69-23CF-44E3-9099-C40C66FF867C}">
                  <a14:compatExt spid="_x0000_s24582"/>
                </a:ext>
                <a:ext uri="{FF2B5EF4-FFF2-40B4-BE49-F238E27FC236}">
                  <a16:creationId xmlns:a16="http://schemas.microsoft.com/office/drawing/2014/main" id="{00000000-0008-0000-1000-000006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50800</xdr:colOff>
          <xdr:row>14</xdr:row>
          <xdr:rowOff>171450</xdr:rowOff>
        </xdr:from>
        <xdr:to>
          <xdr:col>3</xdr:col>
          <xdr:colOff>12700</xdr:colOff>
          <xdr:row>16</xdr:row>
          <xdr:rowOff>69850</xdr:rowOff>
        </xdr:to>
        <xdr:sp macro="" textlink="">
          <xdr:nvSpPr>
            <xdr:cNvPr id="24583" name="Check Box 7" hidden="1">
              <a:extLst>
                <a:ext uri="{63B3BB69-23CF-44E3-9099-C40C66FF867C}">
                  <a14:compatExt spid="_x0000_s24583"/>
                </a:ext>
                <a:ext uri="{FF2B5EF4-FFF2-40B4-BE49-F238E27FC236}">
                  <a16:creationId xmlns:a16="http://schemas.microsoft.com/office/drawing/2014/main" id="{00000000-0008-0000-1000-000007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50800</xdr:colOff>
          <xdr:row>15</xdr:row>
          <xdr:rowOff>171450</xdr:rowOff>
        </xdr:from>
        <xdr:to>
          <xdr:col>3</xdr:col>
          <xdr:colOff>12700</xdr:colOff>
          <xdr:row>17</xdr:row>
          <xdr:rowOff>69850</xdr:rowOff>
        </xdr:to>
        <xdr:sp macro="" textlink="">
          <xdr:nvSpPr>
            <xdr:cNvPr id="24584" name="Check Box 8" hidden="1">
              <a:extLst>
                <a:ext uri="{63B3BB69-23CF-44E3-9099-C40C66FF867C}">
                  <a14:compatExt spid="_x0000_s24584"/>
                </a:ext>
                <a:ext uri="{FF2B5EF4-FFF2-40B4-BE49-F238E27FC236}">
                  <a16:creationId xmlns:a16="http://schemas.microsoft.com/office/drawing/2014/main" id="{00000000-0008-0000-1000-000008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50800</xdr:colOff>
          <xdr:row>16</xdr:row>
          <xdr:rowOff>165100</xdr:rowOff>
        </xdr:from>
        <xdr:to>
          <xdr:col>3</xdr:col>
          <xdr:colOff>12700</xdr:colOff>
          <xdr:row>18</xdr:row>
          <xdr:rowOff>57150</xdr:rowOff>
        </xdr:to>
        <xdr:sp macro="" textlink="">
          <xdr:nvSpPr>
            <xdr:cNvPr id="24585" name="Check Box 9" hidden="1">
              <a:extLst>
                <a:ext uri="{63B3BB69-23CF-44E3-9099-C40C66FF867C}">
                  <a14:compatExt spid="_x0000_s24585"/>
                </a:ext>
                <a:ext uri="{FF2B5EF4-FFF2-40B4-BE49-F238E27FC236}">
                  <a16:creationId xmlns:a16="http://schemas.microsoft.com/office/drawing/2014/main" id="{00000000-0008-0000-1000-000009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50800</xdr:colOff>
          <xdr:row>17</xdr:row>
          <xdr:rowOff>171450</xdr:rowOff>
        </xdr:from>
        <xdr:to>
          <xdr:col>3</xdr:col>
          <xdr:colOff>12700</xdr:colOff>
          <xdr:row>19</xdr:row>
          <xdr:rowOff>69850</xdr:rowOff>
        </xdr:to>
        <xdr:sp macro="" textlink="">
          <xdr:nvSpPr>
            <xdr:cNvPr id="24586" name="Check Box 10" hidden="1">
              <a:extLst>
                <a:ext uri="{63B3BB69-23CF-44E3-9099-C40C66FF867C}">
                  <a14:compatExt spid="_x0000_s24586"/>
                </a:ext>
                <a:ext uri="{FF2B5EF4-FFF2-40B4-BE49-F238E27FC236}">
                  <a16:creationId xmlns:a16="http://schemas.microsoft.com/office/drawing/2014/main" id="{00000000-0008-0000-1000-00000A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361978</xdr:colOff>
      <xdr:row>4</xdr:row>
      <xdr:rowOff>12636</xdr:rowOff>
    </xdr:to>
    <xdr:sp macro="" textlink="">
      <xdr:nvSpPr>
        <xdr:cNvPr id="2" name="3 Rectángulo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/>
      </xdr:nvSpPr>
      <xdr:spPr>
        <a:xfrm>
          <a:off x="0" y="0"/>
          <a:ext cx="9124978" cy="774636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s-ES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9pPr>
        </a:lstStyle>
        <a:p>
          <a:r>
            <a:rPr lang="es-ES" sz="2400" i="1">
              <a:latin typeface="Segoe UI" pitchFamily="34" charset="0"/>
              <a:ea typeface="Segoe UI" pitchFamily="34" charset="0"/>
              <a:cs typeface="Segoe UI" pitchFamily="34" charset="0"/>
            </a:rPr>
            <a:t>¿How will affect</a:t>
          </a:r>
          <a:r>
            <a:rPr lang="es-ES" sz="2400" i="1" baseline="0">
              <a:latin typeface="Segoe UI" pitchFamily="34" charset="0"/>
              <a:ea typeface="Segoe UI" pitchFamily="34" charset="0"/>
              <a:cs typeface="Segoe UI" pitchFamily="34" charset="0"/>
            </a:rPr>
            <a:t> my benefits if I change the unit cost?</a:t>
          </a:r>
          <a:r>
            <a:rPr lang="es-ES" sz="2400" i="1">
              <a:latin typeface="Segoe UI" pitchFamily="34" charset="0"/>
              <a:ea typeface="Segoe UI" pitchFamily="34" charset="0"/>
              <a:cs typeface="Segoe UI" pitchFamily="34" charset="0"/>
            </a:rPr>
            <a:t> </a:t>
          </a:r>
        </a:p>
        <a:p>
          <a:pPr lvl="1"/>
          <a:r>
            <a:rPr lang="es-ES" sz="1600" i="1">
              <a:latin typeface="Segoe UI" pitchFamily="34" charset="0"/>
              <a:ea typeface="Segoe UI" pitchFamily="34" charset="0"/>
              <a:cs typeface="Segoe UI" pitchFamily="34" charset="0"/>
            </a:rPr>
            <a:t> 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conline-my.sharepoint.com/Users/xavierh/Documents/0%20Proyectos/Servicios/1410%20AJUNT%20BCN%20BI/Material%20Docente/AJUNT_BCN_Sesi&#243;n3/AJUNT_BCN_Formato%20Condicio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ido"/>
      <sheetName val="Formato Condicional-Intro1"/>
      <sheetName val="Formato Condicional-Intro2"/>
      <sheetName val="Formato Condicional1_Raw"/>
      <sheetName val="Formato Condicional1_Solved"/>
      <sheetName val="Formato Condicional2_Raw"/>
      <sheetName val="Formato Condicional2_Solved"/>
      <sheetName val="Minigráficos"/>
      <sheetName val="what if"/>
      <sheetName val="What if2"/>
    </sheetNames>
    <sheetDataSet>
      <sheetData sheetId="0"/>
      <sheetData sheetId="1"/>
      <sheetData sheetId="2"/>
      <sheetData sheetId="3"/>
      <sheetData sheetId="4">
        <row r="5">
          <cell r="L5" t="str">
            <v>ENTREGADO</v>
          </cell>
        </row>
        <row r="6">
          <cell r="L6" t="str">
            <v>PENDIENTE ENTREGA</v>
          </cell>
        </row>
        <row r="7">
          <cell r="L7" t="str">
            <v>EXPIRADO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a33" displayName="Tabla33" ref="B5:E23" totalsRowShown="0" headerRowDxfId="85">
  <autoFilter ref="B5:E23" xr:uid="{00000000-0009-0000-0100-000002000000}"/>
  <tableColumns count="4">
    <tableColumn id="1" xr3:uid="{00000000-0010-0000-0000-000001000000}" name="Surname" dataDxfId="84"/>
    <tableColumn id="2" xr3:uid="{00000000-0010-0000-0000-000002000000}" name="Name" dataDxfId="83"/>
    <tableColumn id="3" xr3:uid="{00000000-0010-0000-0000-000003000000}" name="Order ID" dataDxfId="82"/>
    <tableColumn id="4" xr3:uid="{00000000-0010-0000-0000-000004000000}" name="Delivery Date" dataDxfId="81">
      <calculatedColumnFormula>RANDBETWEEN(TODAY()-15,TODAY()+15)</calculatedColumnFormula>
    </tableColumn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a336" displayName="Tabla336" ref="B26:E44" totalsRowShown="0" headerRowDxfId="80">
  <autoFilter ref="B26:E44" xr:uid="{00000000-0009-0000-0100-000005000000}"/>
  <tableColumns count="4">
    <tableColumn id="1" xr3:uid="{00000000-0010-0000-0100-000001000000}" name="Surname" dataDxfId="79"/>
    <tableColumn id="2" xr3:uid="{00000000-0010-0000-0100-000002000000}" name="Name" dataDxfId="78"/>
    <tableColumn id="3" xr3:uid="{00000000-0010-0000-0100-000003000000}" name="Order ID" dataDxfId="77"/>
    <tableColumn id="4" xr3:uid="{00000000-0010-0000-0100-000004000000}" name="Delivery Date" dataDxfId="76">
      <calculatedColumnFormula>RANDBETWEEN(TODAY()-15,TODAY()+15)</calculatedColumnFormula>
    </tableColumn>
  </tableColumns>
  <tableStyleInfo name="TableStyleMedium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2000000}" name="Tabla3310" displayName="Tabla3310" ref="B47:E65" totalsRowShown="0" headerRowDxfId="75">
  <autoFilter ref="B47:E65" xr:uid="{00000000-0009-0000-0100-000009000000}"/>
  <tableColumns count="4">
    <tableColumn id="1" xr3:uid="{00000000-0010-0000-0200-000001000000}" name="Surname" dataDxfId="74"/>
    <tableColumn id="2" xr3:uid="{00000000-0010-0000-0200-000002000000}" name="Name" dataDxfId="73"/>
    <tableColumn id="3" xr3:uid="{00000000-0010-0000-0200-000003000000}" name="Order ID" dataDxfId="72"/>
    <tableColumn id="4" xr3:uid="{00000000-0010-0000-0200-000004000000}" name="Delivery Date" dataDxfId="71">
      <calculatedColumnFormula>RANDBETWEEN(TODAY()-15,TODAY()+15)</calculatedColumnFormula>
    </tableColumn>
  </tableColumns>
  <tableStyleInfo name="TableStyleMedium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abla3" displayName="Tabla3" ref="B8:F26" totalsRowShown="0" headerRowDxfId="70">
  <autoFilter ref="B8:F26" xr:uid="{00000000-0009-0000-0100-000003000000}"/>
  <tableColumns count="5">
    <tableColumn id="1" xr3:uid="{00000000-0010-0000-0300-000001000000}" name="Surname" dataDxfId="69"/>
    <tableColumn id="2" xr3:uid="{00000000-0010-0000-0300-000002000000}" name="Name" dataDxfId="68"/>
    <tableColumn id="3" xr3:uid="{00000000-0010-0000-0300-000003000000}" name="Order ID" dataDxfId="67"/>
    <tableColumn id="4" xr3:uid="{00000000-0010-0000-0300-000004000000}" name="Delivery Date" dataDxfId="66">
      <calculatedColumnFormula>RANDBETWEEN(TODAY()-15,TODAY()+15)</calculatedColumnFormula>
    </tableColumn>
    <tableColumn id="5" xr3:uid="{00000000-0010-0000-0300-000005000000}" name="Delivered" dataDxfId="65"/>
  </tableColumns>
  <tableStyleInfo name="TableStyleMedium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Tabla35" displayName="Tabla35" ref="B8:F26" totalsRowShown="0" headerRowDxfId="64">
  <autoFilter ref="B8:F26" xr:uid="{00000000-0009-0000-0100-000004000000}"/>
  <tableColumns count="5">
    <tableColumn id="1" xr3:uid="{00000000-0010-0000-0400-000001000000}" name="Surname" dataDxfId="63"/>
    <tableColumn id="2" xr3:uid="{00000000-0010-0000-0400-000002000000}" name="Name" dataDxfId="62"/>
    <tableColumn id="3" xr3:uid="{00000000-0010-0000-0400-000003000000}" name="Order ID" dataDxfId="61"/>
    <tableColumn id="4" xr3:uid="{00000000-0010-0000-0400-000004000000}" name="Delivery Date" dataDxfId="60">
      <calculatedColumnFormula>RANDBETWEEN(TODAY()-15,TODAY()+15)</calculatedColumnFormula>
    </tableColumn>
    <tableColumn id="5" xr3:uid="{00000000-0010-0000-0400-000005000000}" name="Delivered" dataDxfId="59"/>
  </tableColumns>
  <tableStyleInfo name="TableStyleMedium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Tabla3578" displayName="Tabla3578" ref="B8:F26" totalsRowShown="0" headerRowDxfId="58">
  <autoFilter ref="B8:F26" xr:uid="{00000000-0009-0000-0100-000007000000}"/>
  <tableColumns count="5">
    <tableColumn id="1" xr3:uid="{00000000-0010-0000-0500-000001000000}" name="Surname" dataDxfId="57"/>
    <tableColumn id="2" xr3:uid="{00000000-0010-0000-0500-000002000000}" name="Name" dataDxfId="56"/>
    <tableColumn id="3" xr3:uid="{00000000-0010-0000-0500-000003000000}" name="Order ID" dataDxfId="55"/>
    <tableColumn id="4" xr3:uid="{00000000-0010-0000-0500-000004000000}" name="Delivery Date" dataDxfId="54">
      <calculatedColumnFormula>RANDBETWEEN(TODAY()-15,TODAY()+15)</calculatedColumnFormula>
    </tableColumn>
    <tableColumn id="5" xr3:uid="{00000000-0010-0000-0500-000005000000}" name="Delivered" dataDxfId="53"/>
  </tableColumns>
  <tableStyleInfo name="TableStyleMedium1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Tabla357" displayName="Tabla357" ref="B8:F26" totalsRowShown="0" headerRowDxfId="52">
  <autoFilter ref="B8:F26" xr:uid="{00000000-0009-0000-0100-000006000000}"/>
  <tableColumns count="5">
    <tableColumn id="1" xr3:uid="{00000000-0010-0000-0600-000001000000}" name="Surname" dataDxfId="51"/>
    <tableColumn id="2" xr3:uid="{00000000-0010-0000-0600-000002000000}" name="Name" dataDxfId="50"/>
    <tableColumn id="3" xr3:uid="{00000000-0010-0000-0600-000003000000}" name="Order ID" dataDxfId="49"/>
    <tableColumn id="4" xr3:uid="{00000000-0010-0000-0600-000004000000}" name="Delivery Date" dataDxfId="48">
      <calculatedColumnFormula>RANDBETWEEN(TODAY()-15,TODAY()+15)</calculatedColumnFormula>
    </tableColumn>
    <tableColumn id="5" xr3:uid="{00000000-0010-0000-0600-000005000000}" name="Delivered" dataDxfId="47"/>
  </tableColumns>
  <tableStyleInfo name="TableStyleMedium1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9000000}" name="Tabla812" displayName="Tabla812" ref="B11:G35" totalsRowShown="0" headerRowDxfId="46" dataDxfId="45">
  <autoFilter ref="B11:G35" xr:uid="{00000000-0009-0000-0100-00000B000000}"/>
  <tableColumns count="6">
    <tableColumn id="1" xr3:uid="{00000000-0010-0000-0900-000001000000}" name="Month" dataDxfId="44"/>
    <tableColumn id="2" xr3:uid="{00000000-0010-0000-0900-000002000000}" name="Year" dataDxfId="43"/>
    <tableColumn id="3" xr3:uid="{00000000-0010-0000-0900-000003000000}" name="Type" dataDxfId="42"/>
    <tableColumn id="4" xr3:uid="{00000000-0010-0000-0900-000004000000}" name="Manufacturing Price" dataDxfId="41"/>
    <tableColumn id="5" xr3:uid="{00000000-0010-0000-0900-000005000000}" name="Dealer Price" dataDxfId="40"/>
    <tableColumn id="6" xr3:uid="{00000000-0010-0000-0900-000006000000}" name="Sales Price" dataDxfId="39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A000000}" name="Tabla8" displayName="Tabla8" ref="B11:J35" totalsRowShown="0" headerRowDxfId="38" dataDxfId="37">
  <autoFilter ref="B11:J35" xr:uid="{00000000-0009-0000-0100-000008000000}"/>
  <tableColumns count="9">
    <tableColumn id="1" xr3:uid="{00000000-0010-0000-0A00-000001000000}" name="Month" dataDxfId="36"/>
    <tableColumn id="2" xr3:uid="{00000000-0010-0000-0A00-000002000000}" name="Year" dataDxfId="35"/>
    <tableColumn id="3" xr3:uid="{00000000-0010-0000-0A00-000003000000}" name="Type" dataDxfId="34"/>
    <tableColumn id="4" xr3:uid="{00000000-0010-0000-0A00-000004000000}" name="Manufacturing Price" dataDxfId="33"/>
    <tableColumn id="5" xr3:uid="{00000000-0010-0000-0A00-000005000000}" name="Dealer Price" dataDxfId="32"/>
    <tableColumn id="6" xr3:uid="{00000000-0010-0000-0A00-000006000000}" name="Sales Price" dataDxfId="31"/>
    <tableColumn id="7" xr3:uid="{00000000-0010-0000-0A00-000007000000}" name="Dealer Margin" dataDxfId="30">
      <calculatedColumnFormula>Tabla8[[#This Row],[Sales Price]]-Tabla8[[#This Row],[Dealer Price]]</calculatedColumnFormula>
    </tableColumn>
    <tableColumn id="8" xr3:uid="{00000000-0010-0000-0A00-000008000000}" name="Dealer Margin2" dataDxfId="29">
      <calculatedColumnFormula>Tabla8[[#This Row],[Sales Price]]-Tabla8[[#This Row],[Dealer Price]]</calculatedColumnFormula>
    </tableColumn>
    <tableColumn id="9" xr3:uid="{00000000-0010-0000-0A00-000009000000}" name="Dealer Margin3" dataDxfId="28">
      <calculatedColumnFormula>Tabla8[[#This Row],[Sales Price]]-Tabla8[[#This Row],[Dealer Price]]</calculatedColumnFormula>
    </tableColumn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B000000}" name="Tabla6" displayName="Tabla6" ref="B5:H29" totalsRowShown="0" headerRowDxfId="27">
  <autoFilter ref="B5:H29" xr:uid="{00000000-0009-0000-0100-000010000000}"/>
  <tableColumns count="7">
    <tableColumn id="1" xr3:uid="{00000000-0010-0000-0B00-000001000000}" name="Mes"/>
    <tableColumn id="2" xr3:uid="{00000000-0010-0000-0B00-000002000000}" name="Año"/>
    <tableColumn id="3" xr3:uid="{00000000-0010-0000-0B00-000003000000}" name="Tipo"/>
    <tableColumn id="4" xr3:uid="{00000000-0010-0000-0B00-000004000000}" name="Precio Fabricación" dataDxfId="26"/>
    <tableColumn id="5" xr3:uid="{00000000-0010-0000-0B00-000005000000}" name="Precio Distribución" dataDxfId="25"/>
    <tableColumn id="6" xr3:uid="{00000000-0010-0000-0B00-000006000000}" name="Precio Público"/>
    <tableColumn id="7" xr3:uid="{00000000-0010-0000-0B00-000007000000}" name="ID1" dataDxfId="24">
      <calculatedColumnFormula>Tabla6[[#This Row],[Precio Público]]-Tabla6[[#This Row],[Precio Distribución]]</calculatedColumnFormula>
    </tableColumn>
  </tableColumns>
  <tableStyleInfo name="TableStyleMedium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C000000}" name="Tabla218" displayName="Tabla218" ref="J5:K8" totalsRowShown="0" headerRowDxfId="23">
  <autoFilter ref="J5:K8" xr:uid="{00000000-0009-0000-0100-000011000000}"/>
  <tableColumns count="2">
    <tableColumn id="1" xr3:uid="{00000000-0010-0000-0C00-000001000000}" name="Método"/>
    <tableColumn id="2" xr3:uid="{00000000-0010-0000-0C00-000002000000}" name="Inconviente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7.xml"/><Relationship Id="rId13" Type="http://schemas.openxmlformats.org/officeDocument/2006/relationships/ctrlProp" Target="../ctrlProps/ctrlProp12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6.xml"/><Relationship Id="rId12" Type="http://schemas.openxmlformats.org/officeDocument/2006/relationships/ctrlProp" Target="../ctrlProps/ctrlProp1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5.xml"/><Relationship Id="rId11" Type="http://schemas.openxmlformats.org/officeDocument/2006/relationships/ctrlProp" Target="../ctrlProps/ctrlProp10.xml"/><Relationship Id="rId5" Type="http://schemas.openxmlformats.org/officeDocument/2006/relationships/ctrlProp" Target="../ctrlProps/ctrlProp4.xml"/><Relationship Id="rId10" Type="http://schemas.openxmlformats.org/officeDocument/2006/relationships/ctrlProp" Target="../ctrlProps/ctrlProp9.xml"/><Relationship Id="rId4" Type="http://schemas.openxmlformats.org/officeDocument/2006/relationships/ctrlProp" Target="../ctrlProps/ctrlProp3.xml"/><Relationship Id="rId9" Type="http://schemas.openxmlformats.org/officeDocument/2006/relationships/ctrlProp" Target="../ctrlProps/ctrlProp8.xm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7.xml"/><Relationship Id="rId13" Type="http://schemas.openxmlformats.org/officeDocument/2006/relationships/ctrlProp" Target="../ctrlProps/ctrlProp22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16.xml"/><Relationship Id="rId12" Type="http://schemas.openxmlformats.org/officeDocument/2006/relationships/ctrlProp" Target="../ctrlProps/ctrlProp21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Relationship Id="rId6" Type="http://schemas.openxmlformats.org/officeDocument/2006/relationships/ctrlProp" Target="../ctrlProps/ctrlProp15.xml"/><Relationship Id="rId11" Type="http://schemas.openxmlformats.org/officeDocument/2006/relationships/ctrlProp" Target="../ctrlProps/ctrlProp20.xml"/><Relationship Id="rId5" Type="http://schemas.openxmlformats.org/officeDocument/2006/relationships/ctrlProp" Target="../ctrlProps/ctrlProp14.xml"/><Relationship Id="rId10" Type="http://schemas.openxmlformats.org/officeDocument/2006/relationships/ctrlProp" Target="../ctrlProps/ctrlProp19.xml"/><Relationship Id="rId4" Type="http://schemas.openxmlformats.org/officeDocument/2006/relationships/ctrlProp" Target="../ctrlProps/ctrlProp13.xml"/><Relationship Id="rId9" Type="http://schemas.openxmlformats.org/officeDocument/2006/relationships/ctrlProp" Target="../ctrlProps/ctrlProp1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B3:B22"/>
  <sheetViews>
    <sheetView showGridLines="0" workbookViewId="0">
      <selection activeCell="B30" sqref="B30"/>
    </sheetView>
  </sheetViews>
  <sheetFormatPr defaultColWidth="9" defaultRowHeight="14.5" x14ac:dyDescent="0.35"/>
  <cols>
    <col min="2" max="2" width="57.81640625" style="1" customWidth="1"/>
    <col min="3" max="3" width="10" customWidth="1"/>
    <col min="4" max="4" width="9.453125" customWidth="1"/>
  </cols>
  <sheetData>
    <row r="3" spans="2:2" ht="26" x14ac:dyDescent="0.6">
      <c r="B3" s="48" t="s">
        <v>87</v>
      </c>
    </row>
    <row r="16" spans="2:2" ht="21" x14ac:dyDescent="0.5">
      <c r="B16" s="49"/>
    </row>
    <row r="17" spans="2:2" ht="21" x14ac:dyDescent="0.5">
      <c r="B17" s="50" t="s">
        <v>88</v>
      </c>
    </row>
    <row r="18" spans="2:2" ht="21" x14ac:dyDescent="0.5">
      <c r="B18" s="50" t="s">
        <v>165</v>
      </c>
    </row>
    <row r="19" spans="2:2" ht="21" x14ac:dyDescent="0.5">
      <c r="B19" s="50" t="s">
        <v>166</v>
      </c>
    </row>
    <row r="20" spans="2:2" ht="21" x14ac:dyDescent="0.5">
      <c r="B20" s="50" t="s">
        <v>167</v>
      </c>
    </row>
    <row r="21" spans="2:2" ht="21" x14ac:dyDescent="0.5">
      <c r="B21" s="50" t="s">
        <v>168</v>
      </c>
    </row>
    <row r="22" spans="2:2" ht="21" x14ac:dyDescent="0.5">
      <c r="B22" s="50" t="s">
        <v>89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>
    <tabColor rgb="FFFFC000"/>
  </sheetPr>
  <dimension ref="A4:AS41"/>
  <sheetViews>
    <sheetView workbookViewId="0">
      <selection activeCell="K5" sqref="K5"/>
    </sheetView>
  </sheetViews>
  <sheetFormatPr defaultColWidth="11.453125" defaultRowHeight="14.5" x14ac:dyDescent="0.35"/>
  <cols>
    <col min="1" max="1" width="11.453125" style="26"/>
    <col min="2" max="2" width="17" style="26" customWidth="1"/>
    <col min="3" max="3" width="7.54296875" style="26" customWidth="1"/>
    <col min="4" max="4" width="8.26953125" style="26" customWidth="1"/>
    <col min="5" max="23" width="7.7265625" style="26" customWidth="1"/>
    <col min="24" max="45" width="11.453125" style="26"/>
  </cols>
  <sheetData>
    <row r="4" spans="1:45" ht="46" x14ac:dyDescent="1">
      <c r="E4" s="42" t="s">
        <v>164</v>
      </c>
    </row>
    <row r="7" spans="1:45" x14ac:dyDescent="0.35">
      <c r="C7" s="26">
        <v>10</v>
      </c>
    </row>
    <row r="9" spans="1:45" s="25" customFormat="1" x14ac:dyDescent="0.35">
      <c r="A9" s="27"/>
      <c r="B9" s="27"/>
      <c r="C9" s="27"/>
      <c r="D9" s="27">
        <v>0</v>
      </c>
      <c r="E9" s="27">
        <v>1</v>
      </c>
      <c r="F9" s="27">
        <v>1.5</v>
      </c>
      <c r="G9" s="27">
        <v>2</v>
      </c>
      <c r="H9" s="27">
        <v>2.5</v>
      </c>
      <c r="I9" s="27">
        <v>3</v>
      </c>
      <c r="J9" s="27">
        <v>3.5</v>
      </c>
      <c r="K9" s="27">
        <v>4</v>
      </c>
      <c r="L9" s="27">
        <v>4.5</v>
      </c>
      <c r="M9" s="27">
        <v>5</v>
      </c>
      <c r="N9" s="27">
        <v>5.5</v>
      </c>
      <c r="O9" s="27">
        <v>6</v>
      </c>
      <c r="P9" s="27">
        <v>6.5</v>
      </c>
      <c r="Q9" s="27">
        <v>7</v>
      </c>
      <c r="R9" s="27">
        <v>7.5</v>
      </c>
      <c r="S9" s="27">
        <v>8</v>
      </c>
      <c r="T9" s="27">
        <v>8.5</v>
      </c>
      <c r="U9" s="27">
        <v>9</v>
      </c>
      <c r="V9" s="27">
        <v>9.5</v>
      </c>
      <c r="W9" s="27">
        <v>10</v>
      </c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</row>
    <row r="10" spans="1:45" s="25" customFormat="1" x14ac:dyDescent="0.35">
      <c r="A10" s="27"/>
      <c r="B10" s="27"/>
      <c r="C10" s="27"/>
      <c r="D10" s="28">
        <f t="shared" ref="D10:W10" si="0">-((D9-$F$40)*(D9-$F$40)-$F$41)</f>
        <v>-20</v>
      </c>
      <c r="E10" s="28">
        <f t="shared" si="0"/>
        <v>-11</v>
      </c>
      <c r="F10" s="28">
        <f t="shared" si="0"/>
        <v>-7.25</v>
      </c>
      <c r="G10" s="28">
        <f t="shared" si="0"/>
        <v>-4</v>
      </c>
      <c r="H10" s="28">
        <f t="shared" si="0"/>
        <v>-1.25</v>
      </c>
      <c r="I10" s="28">
        <f t="shared" si="0"/>
        <v>1</v>
      </c>
      <c r="J10" s="28">
        <f t="shared" si="0"/>
        <v>2.75</v>
      </c>
      <c r="K10" s="28">
        <f t="shared" si="0"/>
        <v>4</v>
      </c>
      <c r="L10" s="28">
        <f t="shared" si="0"/>
        <v>4.75</v>
      </c>
      <c r="M10" s="28">
        <f t="shared" si="0"/>
        <v>5</v>
      </c>
      <c r="N10" s="28">
        <f t="shared" si="0"/>
        <v>4.75</v>
      </c>
      <c r="O10" s="28">
        <f t="shared" si="0"/>
        <v>4</v>
      </c>
      <c r="P10" s="28">
        <f t="shared" si="0"/>
        <v>2.75</v>
      </c>
      <c r="Q10" s="27">
        <f t="shared" si="0"/>
        <v>1</v>
      </c>
      <c r="R10" s="27">
        <f t="shared" si="0"/>
        <v>-1.25</v>
      </c>
      <c r="S10" s="27">
        <f t="shared" si="0"/>
        <v>-4</v>
      </c>
      <c r="T10" s="27">
        <f t="shared" si="0"/>
        <v>-7.25</v>
      </c>
      <c r="U10" s="27">
        <f t="shared" si="0"/>
        <v>-11</v>
      </c>
      <c r="V10" s="27">
        <f t="shared" si="0"/>
        <v>-15.25</v>
      </c>
      <c r="W10" s="27">
        <f t="shared" si="0"/>
        <v>-20</v>
      </c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</row>
    <row r="11" spans="1:45" x14ac:dyDescent="0.35">
      <c r="C11" s="26">
        <v>0</v>
      </c>
      <c r="D11" s="27">
        <f t="shared" ref="D11:D30" si="1">-((C11-$F$40)*(C11-$F$40)-$F$41)</f>
        <v>-20</v>
      </c>
      <c r="E11" s="29">
        <f t="shared" ref="E11:W11" si="2">$D$11*E10</f>
        <v>220</v>
      </c>
      <c r="F11" s="29">
        <f t="shared" si="2"/>
        <v>145</v>
      </c>
      <c r="G11" s="29">
        <f t="shared" si="2"/>
        <v>80</v>
      </c>
      <c r="H11" s="29">
        <f t="shared" si="2"/>
        <v>25</v>
      </c>
      <c r="I11" s="29">
        <f t="shared" si="2"/>
        <v>-20</v>
      </c>
      <c r="J11" s="29">
        <f t="shared" si="2"/>
        <v>-55</v>
      </c>
      <c r="K11" s="29">
        <f t="shared" si="2"/>
        <v>-80</v>
      </c>
      <c r="L11" s="29">
        <f t="shared" si="2"/>
        <v>-95</v>
      </c>
      <c r="M11" s="29">
        <f t="shared" si="2"/>
        <v>-100</v>
      </c>
      <c r="N11" s="29">
        <f t="shared" si="2"/>
        <v>-95</v>
      </c>
      <c r="O11" s="29">
        <f t="shared" si="2"/>
        <v>-80</v>
      </c>
      <c r="P11" s="29">
        <f t="shared" si="2"/>
        <v>-55</v>
      </c>
      <c r="Q11" s="29">
        <f t="shared" si="2"/>
        <v>-20</v>
      </c>
      <c r="R11" s="29">
        <f t="shared" si="2"/>
        <v>25</v>
      </c>
      <c r="S11" s="29">
        <f t="shared" si="2"/>
        <v>80</v>
      </c>
      <c r="T11" s="29">
        <f t="shared" si="2"/>
        <v>145</v>
      </c>
      <c r="U11" s="29">
        <f t="shared" si="2"/>
        <v>220</v>
      </c>
      <c r="V11" s="29">
        <f t="shared" si="2"/>
        <v>305</v>
      </c>
      <c r="W11" s="29">
        <f t="shared" si="2"/>
        <v>400</v>
      </c>
    </row>
    <row r="12" spans="1:45" x14ac:dyDescent="0.35">
      <c r="C12" s="27">
        <v>1</v>
      </c>
      <c r="D12" s="27">
        <f t="shared" si="1"/>
        <v>-11</v>
      </c>
      <c r="E12" s="29">
        <f t="shared" ref="E12:W12" si="3">$D$12*E10</f>
        <v>121</v>
      </c>
      <c r="F12" s="29">
        <f t="shared" si="3"/>
        <v>79.75</v>
      </c>
      <c r="G12" s="29">
        <f t="shared" si="3"/>
        <v>44</v>
      </c>
      <c r="H12" s="29">
        <f t="shared" si="3"/>
        <v>13.75</v>
      </c>
      <c r="I12" s="29">
        <f t="shared" si="3"/>
        <v>-11</v>
      </c>
      <c r="J12" s="29">
        <f t="shared" si="3"/>
        <v>-30.25</v>
      </c>
      <c r="K12" s="29">
        <f t="shared" si="3"/>
        <v>-44</v>
      </c>
      <c r="L12" s="29">
        <f t="shared" si="3"/>
        <v>-52.25</v>
      </c>
      <c r="M12" s="29">
        <f t="shared" si="3"/>
        <v>-55</v>
      </c>
      <c r="N12" s="29">
        <f t="shared" si="3"/>
        <v>-52.25</v>
      </c>
      <c r="O12" s="29">
        <f t="shared" si="3"/>
        <v>-44</v>
      </c>
      <c r="P12" s="29">
        <f t="shared" si="3"/>
        <v>-30.25</v>
      </c>
      <c r="Q12" s="29">
        <f t="shared" si="3"/>
        <v>-11</v>
      </c>
      <c r="R12" s="29">
        <f t="shared" si="3"/>
        <v>13.75</v>
      </c>
      <c r="S12" s="29">
        <f t="shared" si="3"/>
        <v>44</v>
      </c>
      <c r="T12" s="29">
        <f t="shared" si="3"/>
        <v>79.75</v>
      </c>
      <c r="U12" s="29">
        <f t="shared" si="3"/>
        <v>121</v>
      </c>
      <c r="V12" s="29">
        <f t="shared" si="3"/>
        <v>167.75</v>
      </c>
      <c r="W12" s="29">
        <f t="shared" si="3"/>
        <v>220</v>
      </c>
    </row>
    <row r="13" spans="1:45" x14ac:dyDescent="0.35">
      <c r="C13" s="27">
        <v>1.5</v>
      </c>
      <c r="D13" s="27">
        <f t="shared" si="1"/>
        <v>-7.25</v>
      </c>
      <c r="E13" s="29">
        <f t="shared" ref="E13:W13" si="4">$D$13*E10</f>
        <v>79.75</v>
      </c>
      <c r="F13" s="29">
        <f t="shared" si="4"/>
        <v>52.5625</v>
      </c>
      <c r="G13" s="29">
        <f t="shared" si="4"/>
        <v>29</v>
      </c>
      <c r="H13" s="29">
        <f t="shared" si="4"/>
        <v>9.0625</v>
      </c>
      <c r="I13" s="29">
        <f t="shared" si="4"/>
        <v>-7.25</v>
      </c>
      <c r="J13" s="29">
        <f t="shared" si="4"/>
        <v>-19.9375</v>
      </c>
      <c r="K13" s="29">
        <f t="shared" si="4"/>
        <v>-29</v>
      </c>
      <c r="L13" s="29">
        <f t="shared" si="4"/>
        <v>-34.4375</v>
      </c>
      <c r="M13" s="29">
        <f t="shared" si="4"/>
        <v>-36.25</v>
      </c>
      <c r="N13" s="29">
        <f t="shared" si="4"/>
        <v>-34.4375</v>
      </c>
      <c r="O13" s="29">
        <f t="shared" si="4"/>
        <v>-29</v>
      </c>
      <c r="P13" s="29">
        <f t="shared" si="4"/>
        <v>-19.9375</v>
      </c>
      <c r="Q13" s="29">
        <f t="shared" si="4"/>
        <v>-7.25</v>
      </c>
      <c r="R13" s="29">
        <f t="shared" si="4"/>
        <v>9.0625</v>
      </c>
      <c r="S13" s="29">
        <f t="shared" si="4"/>
        <v>29</v>
      </c>
      <c r="T13" s="29">
        <f t="shared" si="4"/>
        <v>52.5625</v>
      </c>
      <c r="U13" s="29">
        <f t="shared" si="4"/>
        <v>79.75</v>
      </c>
      <c r="V13" s="29">
        <f t="shared" si="4"/>
        <v>110.5625</v>
      </c>
      <c r="W13" s="29">
        <f t="shared" si="4"/>
        <v>145</v>
      </c>
    </row>
    <row r="14" spans="1:45" x14ac:dyDescent="0.35">
      <c r="C14" s="27">
        <v>2</v>
      </c>
      <c r="D14" s="27">
        <f t="shared" si="1"/>
        <v>-4</v>
      </c>
      <c r="E14" s="29">
        <f t="shared" ref="E14:W14" si="5">$D$14*E10</f>
        <v>44</v>
      </c>
      <c r="F14" s="29">
        <f t="shared" si="5"/>
        <v>29</v>
      </c>
      <c r="G14" s="29">
        <f t="shared" si="5"/>
        <v>16</v>
      </c>
      <c r="H14" s="29">
        <f t="shared" si="5"/>
        <v>5</v>
      </c>
      <c r="I14" s="29">
        <f t="shared" si="5"/>
        <v>-4</v>
      </c>
      <c r="J14" s="29">
        <f t="shared" si="5"/>
        <v>-11</v>
      </c>
      <c r="K14" s="29">
        <f t="shared" si="5"/>
        <v>-16</v>
      </c>
      <c r="L14" s="29">
        <f t="shared" si="5"/>
        <v>-19</v>
      </c>
      <c r="M14" s="29">
        <f t="shared" si="5"/>
        <v>-20</v>
      </c>
      <c r="N14" s="29">
        <f t="shared" si="5"/>
        <v>-19</v>
      </c>
      <c r="O14" s="29">
        <f t="shared" si="5"/>
        <v>-16</v>
      </c>
      <c r="P14" s="29">
        <f t="shared" si="5"/>
        <v>-11</v>
      </c>
      <c r="Q14" s="29">
        <f t="shared" si="5"/>
        <v>-4</v>
      </c>
      <c r="R14" s="29">
        <f t="shared" si="5"/>
        <v>5</v>
      </c>
      <c r="S14" s="29">
        <f t="shared" si="5"/>
        <v>16</v>
      </c>
      <c r="T14" s="29">
        <f t="shared" si="5"/>
        <v>29</v>
      </c>
      <c r="U14" s="29">
        <f t="shared" si="5"/>
        <v>44</v>
      </c>
      <c r="V14" s="29">
        <f t="shared" si="5"/>
        <v>61</v>
      </c>
      <c r="W14" s="29">
        <f t="shared" si="5"/>
        <v>80</v>
      </c>
    </row>
    <row r="15" spans="1:45" x14ac:dyDescent="0.35">
      <c r="C15" s="27">
        <v>2.5</v>
      </c>
      <c r="D15" s="27">
        <f t="shared" si="1"/>
        <v>-1.25</v>
      </c>
      <c r="E15" s="29">
        <f t="shared" ref="E15:W15" si="6">$D$15*E10</f>
        <v>13.75</v>
      </c>
      <c r="F15" s="29">
        <f t="shared" si="6"/>
        <v>9.0625</v>
      </c>
      <c r="G15" s="29">
        <f t="shared" si="6"/>
        <v>5</v>
      </c>
      <c r="H15" s="29">
        <f t="shared" si="6"/>
        <v>1.5625</v>
      </c>
      <c r="I15" s="29">
        <f t="shared" si="6"/>
        <v>-1.25</v>
      </c>
      <c r="J15" s="29">
        <f t="shared" si="6"/>
        <v>-3.4375</v>
      </c>
      <c r="K15" s="29">
        <f t="shared" si="6"/>
        <v>-5</v>
      </c>
      <c r="L15" s="29">
        <f t="shared" si="6"/>
        <v>-5.9375</v>
      </c>
      <c r="M15" s="29">
        <f t="shared" si="6"/>
        <v>-6.25</v>
      </c>
      <c r="N15" s="29">
        <f t="shared" si="6"/>
        <v>-5.9375</v>
      </c>
      <c r="O15" s="29">
        <f t="shared" si="6"/>
        <v>-5</v>
      </c>
      <c r="P15" s="29">
        <f t="shared" si="6"/>
        <v>-3.4375</v>
      </c>
      <c r="Q15" s="29">
        <f t="shared" si="6"/>
        <v>-1.25</v>
      </c>
      <c r="R15" s="29">
        <f t="shared" si="6"/>
        <v>1.5625</v>
      </c>
      <c r="S15" s="29">
        <f t="shared" si="6"/>
        <v>5</v>
      </c>
      <c r="T15" s="29">
        <f t="shared" si="6"/>
        <v>9.0625</v>
      </c>
      <c r="U15" s="29">
        <f t="shared" si="6"/>
        <v>13.75</v>
      </c>
      <c r="V15" s="29">
        <f t="shared" si="6"/>
        <v>19.0625</v>
      </c>
      <c r="W15" s="29">
        <f t="shared" si="6"/>
        <v>25</v>
      </c>
    </row>
    <row r="16" spans="1:45" x14ac:dyDescent="0.35">
      <c r="C16" s="27">
        <v>3</v>
      </c>
      <c r="D16" s="27">
        <f t="shared" si="1"/>
        <v>1</v>
      </c>
      <c r="E16" s="29">
        <f t="shared" ref="E16:W16" si="7">$D$16*E10</f>
        <v>-11</v>
      </c>
      <c r="F16" s="29">
        <f t="shared" si="7"/>
        <v>-7.25</v>
      </c>
      <c r="G16" s="29">
        <f t="shared" si="7"/>
        <v>-4</v>
      </c>
      <c r="H16" s="29">
        <f t="shared" si="7"/>
        <v>-1.25</v>
      </c>
      <c r="I16" s="29">
        <f t="shared" si="7"/>
        <v>1</v>
      </c>
      <c r="J16" s="29">
        <f t="shared" si="7"/>
        <v>2.75</v>
      </c>
      <c r="K16" s="29">
        <f t="shared" si="7"/>
        <v>4</v>
      </c>
      <c r="L16" s="29">
        <f t="shared" si="7"/>
        <v>4.75</v>
      </c>
      <c r="M16" s="29">
        <f t="shared" si="7"/>
        <v>5</v>
      </c>
      <c r="N16" s="29">
        <f t="shared" si="7"/>
        <v>4.75</v>
      </c>
      <c r="O16" s="29">
        <f t="shared" si="7"/>
        <v>4</v>
      </c>
      <c r="P16" s="29">
        <f t="shared" si="7"/>
        <v>2.75</v>
      </c>
      <c r="Q16" s="29">
        <f t="shared" si="7"/>
        <v>1</v>
      </c>
      <c r="R16" s="29">
        <f t="shared" si="7"/>
        <v>-1.25</v>
      </c>
      <c r="S16" s="29">
        <f t="shared" si="7"/>
        <v>-4</v>
      </c>
      <c r="T16" s="29">
        <f t="shared" si="7"/>
        <v>-7.25</v>
      </c>
      <c r="U16" s="29">
        <f t="shared" si="7"/>
        <v>-11</v>
      </c>
      <c r="V16" s="29">
        <f t="shared" si="7"/>
        <v>-15.25</v>
      </c>
      <c r="W16" s="29">
        <f t="shared" si="7"/>
        <v>-20</v>
      </c>
    </row>
    <row r="17" spans="3:23" x14ac:dyDescent="0.35">
      <c r="C17" s="27">
        <v>3.5</v>
      </c>
      <c r="D17" s="27">
        <f t="shared" si="1"/>
        <v>2.75</v>
      </c>
      <c r="E17" s="29">
        <f t="shared" ref="E17:W17" si="8">$D$17*E10</f>
        <v>-30.25</v>
      </c>
      <c r="F17" s="29">
        <f t="shared" si="8"/>
        <v>-19.9375</v>
      </c>
      <c r="G17" s="29">
        <f t="shared" si="8"/>
        <v>-11</v>
      </c>
      <c r="H17" s="29">
        <f t="shared" si="8"/>
        <v>-3.4375</v>
      </c>
      <c r="I17" s="29">
        <f t="shared" si="8"/>
        <v>2.75</v>
      </c>
      <c r="J17" s="29">
        <f t="shared" si="8"/>
        <v>7.5625</v>
      </c>
      <c r="K17" s="29">
        <f t="shared" si="8"/>
        <v>11</v>
      </c>
      <c r="L17" s="29">
        <f t="shared" si="8"/>
        <v>13.0625</v>
      </c>
      <c r="M17" s="29">
        <f t="shared" si="8"/>
        <v>13.75</v>
      </c>
      <c r="N17" s="29">
        <f t="shared" si="8"/>
        <v>13.0625</v>
      </c>
      <c r="O17" s="29">
        <f t="shared" si="8"/>
        <v>11</v>
      </c>
      <c r="P17" s="29">
        <f t="shared" si="8"/>
        <v>7.5625</v>
      </c>
      <c r="Q17" s="29">
        <f t="shared" si="8"/>
        <v>2.75</v>
      </c>
      <c r="R17" s="29">
        <f t="shared" si="8"/>
        <v>-3.4375</v>
      </c>
      <c r="S17" s="29">
        <f t="shared" si="8"/>
        <v>-11</v>
      </c>
      <c r="T17" s="29">
        <f t="shared" si="8"/>
        <v>-19.9375</v>
      </c>
      <c r="U17" s="29">
        <f t="shared" si="8"/>
        <v>-30.25</v>
      </c>
      <c r="V17" s="29">
        <f t="shared" si="8"/>
        <v>-41.9375</v>
      </c>
      <c r="W17" s="29">
        <f t="shared" si="8"/>
        <v>-55</v>
      </c>
    </row>
    <row r="18" spans="3:23" x14ac:dyDescent="0.35">
      <c r="C18" s="27">
        <v>4</v>
      </c>
      <c r="D18" s="27">
        <f t="shared" si="1"/>
        <v>4</v>
      </c>
      <c r="E18" s="29">
        <f t="shared" ref="E18:W18" si="9">$D$18*E10</f>
        <v>-44</v>
      </c>
      <c r="F18" s="29">
        <f t="shared" si="9"/>
        <v>-29</v>
      </c>
      <c r="G18" s="29">
        <f t="shared" si="9"/>
        <v>-16</v>
      </c>
      <c r="H18" s="29">
        <f t="shared" si="9"/>
        <v>-5</v>
      </c>
      <c r="I18" s="29">
        <f t="shared" si="9"/>
        <v>4</v>
      </c>
      <c r="J18" s="29">
        <f t="shared" si="9"/>
        <v>11</v>
      </c>
      <c r="K18" s="29">
        <f t="shared" si="9"/>
        <v>16</v>
      </c>
      <c r="L18" s="29">
        <f t="shared" si="9"/>
        <v>19</v>
      </c>
      <c r="M18" s="29">
        <f t="shared" si="9"/>
        <v>20</v>
      </c>
      <c r="N18" s="29">
        <f t="shared" si="9"/>
        <v>19</v>
      </c>
      <c r="O18" s="29">
        <f t="shared" si="9"/>
        <v>16</v>
      </c>
      <c r="P18" s="29">
        <f t="shared" si="9"/>
        <v>11</v>
      </c>
      <c r="Q18" s="29">
        <f t="shared" si="9"/>
        <v>4</v>
      </c>
      <c r="R18" s="29">
        <f t="shared" si="9"/>
        <v>-5</v>
      </c>
      <c r="S18" s="29">
        <f t="shared" si="9"/>
        <v>-16</v>
      </c>
      <c r="T18" s="29">
        <f t="shared" si="9"/>
        <v>-29</v>
      </c>
      <c r="U18" s="29">
        <f t="shared" si="9"/>
        <v>-44</v>
      </c>
      <c r="V18" s="29">
        <f t="shared" si="9"/>
        <v>-61</v>
      </c>
      <c r="W18" s="29">
        <f t="shared" si="9"/>
        <v>-80</v>
      </c>
    </row>
    <row r="19" spans="3:23" x14ac:dyDescent="0.35">
      <c r="C19" s="27">
        <v>4.5</v>
      </c>
      <c r="D19" s="27">
        <f t="shared" si="1"/>
        <v>4.75</v>
      </c>
      <c r="E19" s="29">
        <f t="shared" ref="E19:W19" si="10">$D$19*E10</f>
        <v>-52.25</v>
      </c>
      <c r="F19" s="29">
        <f t="shared" si="10"/>
        <v>-34.4375</v>
      </c>
      <c r="G19" s="29">
        <f t="shared" si="10"/>
        <v>-19</v>
      </c>
      <c r="H19" s="29">
        <f t="shared" si="10"/>
        <v>-5.9375</v>
      </c>
      <c r="I19" s="29">
        <f t="shared" si="10"/>
        <v>4.75</v>
      </c>
      <c r="J19" s="29">
        <f t="shared" si="10"/>
        <v>13.0625</v>
      </c>
      <c r="K19" s="29">
        <f t="shared" si="10"/>
        <v>19</v>
      </c>
      <c r="L19" s="29">
        <f t="shared" si="10"/>
        <v>22.5625</v>
      </c>
      <c r="M19" s="29">
        <f t="shared" si="10"/>
        <v>23.75</v>
      </c>
      <c r="N19" s="29">
        <f t="shared" si="10"/>
        <v>22.5625</v>
      </c>
      <c r="O19" s="29">
        <f t="shared" si="10"/>
        <v>19</v>
      </c>
      <c r="P19" s="29">
        <f t="shared" si="10"/>
        <v>13.0625</v>
      </c>
      <c r="Q19" s="29">
        <f t="shared" si="10"/>
        <v>4.75</v>
      </c>
      <c r="R19" s="29">
        <f t="shared" si="10"/>
        <v>-5.9375</v>
      </c>
      <c r="S19" s="29">
        <f t="shared" si="10"/>
        <v>-19</v>
      </c>
      <c r="T19" s="29">
        <f t="shared" si="10"/>
        <v>-34.4375</v>
      </c>
      <c r="U19" s="29">
        <f t="shared" si="10"/>
        <v>-52.25</v>
      </c>
      <c r="V19" s="29">
        <f t="shared" si="10"/>
        <v>-72.4375</v>
      </c>
      <c r="W19" s="29">
        <f t="shared" si="10"/>
        <v>-95</v>
      </c>
    </row>
    <row r="20" spans="3:23" x14ac:dyDescent="0.35">
      <c r="C20" s="27">
        <v>5</v>
      </c>
      <c r="D20" s="27">
        <f t="shared" si="1"/>
        <v>5</v>
      </c>
      <c r="E20" s="29">
        <f t="shared" ref="E20:W20" si="11">$D$20*E10</f>
        <v>-55</v>
      </c>
      <c r="F20" s="29">
        <f t="shared" si="11"/>
        <v>-36.25</v>
      </c>
      <c r="G20" s="29">
        <f t="shared" si="11"/>
        <v>-20</v>
      </c>
      <c r="H20" s="29">
        <f t="shared" si="11"/>
        <v>-6.25</v>
      </c>
      <c r="I20" s="29">
        <f t="shared" si="11"/>
        <v>5</v>
      </c>
      <c r="J20" s="29">
        <f t="shared" si="11"/>
        <v>13.75</v>
      </c>
      <c r="K20" s="29">
        <f t="shared" si="11"/>
        <v>20</v>
      </c>
      <c r="L20" s="29">
        <f t="shared" si="11"/>
        <v>23.75</v>
      </c>
      <c r="M20" s="29">
        <f t="shared" si="11"/>
        <v>25</v>
      </c>
      <c r="N20" s="29">
        <f t="shared" si="11"/>
        <v>23.75</v>
      </c>
      <c r="O20" s="29">
        <f t="shared" si="11"/>
        <v>20</v>
      </c>
      <c r="P20" s="29">
        <f t="shared" si="11"/>
        <v>13.75</v>
      </c>
      <c r="Q20" s="29">
        <f t="shared" si="11"/>
        <v>5</v>
      </c>
      <c r="R20" s="29">
        <f t="shared" si="11"/>
        <v>-6.25</v>
      </c>
      <c r="S20" s="29">
        <f t="shared" si="11"/>
        <v>-20</v>
      </c>
      <c r="T20" s="29">
        <f t="shared" si="11"/>
        <v>-36.25</v>
      </c>
      <c r="U20" s="29">
        <f t="shared" si="11"/>
        <v>-55</v>
      </c>
      <c r="V20" s="29">
        <f t="shared" si="11"/>
        <v>-76.25</v>
      </c>
      <c r="W20" s="29">
        <f t="shared" si="11"/>
        <v>-100</v>
      </c>
    </row>
    <row r="21" spans="3:23" x14ac:dyDescent="0.35">
      <c r="C21" s="27">
        <v>5.5</v>
      </c>
      <c r="D21" s="27">
        <f t="shared" si="1"/>
        <v>4.75</v>
      </c>
      <c r="E21" s="29">
        <f t="shared" ref="E21:W21" si="12">$D$21*E10</f>
        <v>-52.25</v>
      </c>
      <c r="F21" s="29">
        <f t="shared" si="12"/>
        <v>-34.4375</v>
      </c>
      <c r="G21" s="29">
        <f t="shared" si="12"/>
        <v>-19</v>
      </c>
      <c r="H21" s="29">
        <f t="shared" si="12"/>
        <v>-5.9375</v>
      </c>
      <c r="I21" s="29">
        <f t="shared" si="12"/>
        <v>4.75</v>
      </c>
      <c r="J21" s="29">
        <f t="shared" si="12"/>
        <v>13.0625</v>
      </c>
      <c r="K21" s="29">
        <f t="shared" si="12"/>
        <v>19</v>
      </c>
      <c r="L21" s="29">
        <f t="shared" si="12"/>
        <v>22.5625</v>
      </c>
      <c r="M21" s="29">
        <f t="shared" si="12"/>
        <v>23.75</v>
      </c>
      <c r="N21" s="29">
        <f t="shared" si="12"/>
        <v>22.5625</v>
      </c>
      <c r="O21" s="29">
        <f t="shared" si="12"/>
        <v>19</v>
      </c>
      <c r="P21" s="29">
        <f t="shared" si="12"/>
        <v>13.0625</v>
      </c>
      <c r="Q21" s="29">
        <f t="shared" si="12"/>
        <v>4.75</v>
      </c>
      <c r="R21" s="29">
        <f t="shared" si="12"/>
        <v>-5.9375</v>
      </c>
      <c r="S21" s="29">
        <f t="shared" si="12"/>
        <v>-19</v>
      </c>
      <c r="T21" s="29">
        <f t="shared" si="12"/>
        <v>-34.4375</v>
      </c>
      <c r="U21" s="29">
        <f t="shared" si="12"/>
        <v>-52.25</v>
      </c>
      <c r="V21" s="29">
        <f t="shared" si="12"/>
        <v>-72.4375</v>
      </c>
      <c r="W21" s="29">
        <f t="shared" si="12"/>
        <v>-95</v>
      </c>
    </row>
    <row r="22" spans="3:23" x14ac:dyDescent="0.35">
      <c r="C22" s="27">
        <v>6</v>
      </c>
      <c r="D22" s="27">
        <f t="shared" si="1"/>
        <v>4</v>
      </c>
      <c r="E22" s="29">
        <f t="shared" ref="E22:W22" si="13">$D$22*E10</f>
        <v>-44</v>
      </c>
      <c r="F22" s="29">
        <f t="shared" si="13"/>
        <v>-29</v>
      </c>
      <c r="G22" s="29">
        <f t="shared" si="13"/>
        <v>-16</v>
      </c>
      <c r="H22" s="29">
        <f t="shared" si="13"/>
        <v>-5</v>
      </c>
      <c r="I22" s="29">
        <f t="shared" si="13"/>
        <v>4</v>
      </c>
      <c r="J22" s="29">
        <f t="shared" si="13"/>
        <v>11</v>
      </c>
      <c r="K22" s="29">
        <f t="shared" si="13"/>
        <v>16</v>
      </c>
      <c r="L22" s="29">
        <f t="shared" si="13"/>
        <v>19</v>
      </c>
      <c r="M22" s="29">
        <f t="shared" si="13"/>
        <v>20</v>
      </c>
      <c r="N22" s="29">
        <f t="shared" si="13"/>
        <v>19</v>
      </c>
      <c r="O22" s="29">
        <f t="shared" si="13"/>
        <v>16</v>
      </c>
      <c r="P22" s="29">
        <f t="shared" si="13"/>
        <v>11</v>
      </c>
      <c r="Q22" s="29">
        <f t="shared" si="13"/>
        <v>4</v>
      </c>
      <c r="R22" s="29">
        <f t="shared" si="13"/>
        <v>-5</v>
      </c>
      <c r="S22" s="29">
        <f t="shared" si="13"/>
        <v>-16</v>
      </c>
      <c r="T22" s="29">
        <f t="shared" si="13"/>
        <v>-29</v>
      </c>
      <c r="U22" s="29">
        <f t="shared" si="13"/>
        <v>-44</v>
      </c>
      <c r="V22" s="29">
        <f t="shared" si="13"/>
        <v>-61</v>
      </c>
      <c r="W22" s="29">
        <f t="shared" si="13"/>
        <v>-80</v>
      </c>
    </row>
    <row r="23" spans="3:23" x14ac:dyDescent="0.35">
      <c r="C23" s="27">
        <v>6.5</v>
      </c>
      <c r="D23" s="27">
        <f t="shared" si="1"/>
        <v>2.75</v>
      </c>
      <c r="E23" s="29">
        <f t="shared" ref="E23:W23" si="14">$D$23*E10</f>
        <v>-30.25</v>
      </c>
      <c r="F23" s="29">
        <f t="shared" si="14"/>
        <v>-19.9375</v>
      </c>
      <c r="G23" s="29">
        <f t="shared" si="14"/>
        <v>-11</v>
      </c>
      <c r="H23" s="29">
        <f t="shared" si="14"/>
        <v>-3.4375</v>
      </c>
      <c r="I23" s="29">
        <f t="shared" si="14"/>
        <v>2.75</v>
      </c>
      <c r="J23" s="29">
        <f t="shared" si="14"/>
        <v>7.5625</v>
      </c>
      <c r="K23" s="29">
        <f t="shared" si="14"/>
        <v>11</v>
      </c>
      <c r="L23" s="29">
        <f t="shared" si="14"/>
        <v>13.0625</v>
      </c>
      <c r="M23" s="29">
        <f t="shared" si="14"/>
        <v>13.75</v>
      </c>
      <c r="N23" s="29">
        <f t="shared" si="14"/>
        <v>13.0625</v>
      </c>
      <c r="O23" s="29">
        <f t="shared" si="14"/>
        <v>11</v>
      </c>
      <c r="P23" s="29">
        <f t="shared" si="14"/>
        <v>7.5625</v>
      </c>
      <c r="Q23" s="29">
        <f t="shared" si="14"/>
        <v>2.75</v>
      </c>
      <c r="R23" s="29">
        <f t="shared" si="14"/>
        <v>-3.4375</v>
      </c>
      <c r="S23" s="29">
        <f t="shared" si="14"/>
        <v>-11</v>
      </c>
      <c r="T23" s="29">
        <f t="shared" si="14"/>
        <v>-19.9375</v>
      </c>
      <c r="U23" s="29">
        <f t="shared" si="14"/>
        <v>-30.25</v>
      </c>
      <c r="V23" s="29">
        <f t="shared" si="14"/>
        <v>-41.9375</v>
      </c>
      <c r="W23" s="29">
        <f t="shared" si="14"/>
        <v>-55</v>
      </c>
    </row>
    <row r="24" spans="3:23" x14ac:dyDescent="0.35">
      <c r="C24" s="27">
        <v>7</v>
      </c>
      <c r="D24" s="27">
        <f t="shared" si="1"/>
        <v>1</v>
      </c>
      <c r="E24" s="29">
        <f t="shared" ref="E24:W24" si="15">$D$24*E10</f>
        <v>-11</v>
      </c>
      <c r="F24" s="29">
        <f t="shared" si="15"/>
        <v>-7.25</v>
      </c>
      <c r="G24" s="29">
        <f t="shared" si="15"/>
        <v>-4</v>
      </c>
      <c r="H24" s="29">
        <f t="shared" si="15"/>
        <v>-1.25</v>
      </c>
      <c r="I24" s="29">
        <f t="shared" si="15"/>
        <v>1</v>
      </c>
      <c r="J24" s="29">
        <f t="shared" si="15"/>
        <v>2.75</v>
      </c>
      <c r="K24" s="29">
        <f t="shared" si="15"/>
        <v>4</v>
      </c>
      <c r="L24" s="29">
        <f t="shared" si="15"/>
        <v>4.75</v>
      </c>
      <c r="M24" s="29">
        <f t="shared" si="15"/>
        <v>5</v>
      </c>
      <c r="N24" s="29">
        <f t="shared" si="15"/>
        <v>4.75</v>
      </c>
      <c r="O24" s="29">
        <f t="shared" si="15"/>
        <v>4</v>
      </c>
      <c r="P24" s="29">
        <f t="shared" si="15"/>
        <v>2.75</v>
      </c>
      <c r="Q24" s="29">
        <f t="shared" si="15"/>
        <v>1</v>
      </c>
      <c r="R24" s="29">
        <f t="shared" si="15"/>
        <v>-1.25</v>
      </c>
      <c r="S24" s="29">
        <f t="shared" si="15"/>
        <v>-4</v>
      </c>
      <c r="T24" s="29">
        <f t="shared" si="15"/>
        <v>-7.25</v>
      </c>
      <c r="U24" s="29">
        <f t="shared" si="15"/>
        <v>-11</v>
      </c>
      <c r="V24" s="29">
        <f t="shared" si="15"/>
        <v>-15.25</v>
      </c>
      <c r="W24" s="29">
        <f t="shared" si="15"/>
        <v>-20</v>
      </c>
    </row>
    <row r="25" spans="3:23" x14ac:dyDescent="0.35">
      <c r="C25" s="27">
        <v>7.5</v>
      </c>
      <c r="D25" s="27">
        <f t="shared" si="1"/>
        <v>-1.25</v>
      </c>
      <c r="E25" s="29">
        <f t="shared" ref="E25:W25" si="16">$D$25*E10</f>
        <v>13.75</v>
      </c>
      <c r="F25" s="29">
        <f t="shared" si="16"/>
        <v>9.0625</v>
      </c>
      <c r="G25" s="29">
        <f t="shared" si="16"/>
        <v>5</v>
      </c>
      <c r="H25" s="29">
        <f t="shared" si="16"/>
        <v>1.5625</v>
      </c>
      <c r="I25" s="29">
        <f t="shared" si="16"/>
        <v>-1.25</v>
      </c>
      <c r="J25" s="29">
        <f t="shared" si="16"/>
        <v>-3.4375</v>
      </c>
      <c r="K25" s="29">
        <f t="shared" si="16"/>
        <v>-5</v>
      </c>
      <c r="L25" s="29">
        <f t="shared" si="16"/>
        <v>-5.9375</v>
      </c>
      <c r="M25" s="29">
        <f t="shared" si="16"/>
        <v>-6.25</v>
      </c>
      <c r="N25" s="29">
        <f t="shared" si="16"/>
        <v>-5.9375</v>
      </c>
      <c r="O25" s="29">
        <f t="shared" si="16"/>
        <v>-5</v>
      </c>
      <c r="P25" s="29">
        <f t="shared" si="16"/>
        <v>-3.4375</v>
      </c>
      <c r="Q25" s="29">
        <f t="shared" si="16"/>
        <v>-1.25</v>
      </c>
      <c r="R25" s="29">
        <f t="shared" si="16"/>
        <v>1.5625</v>
      </c>
      <c r="S25" s="29">
        <f t="shared" si="16"/>
        <v>5</v>
      </c>
      <c r="T25" s="29">
        <f t="shared" si="16"/>
        <v>9.0625</v>
      </c>
      <c r="U25" s="29">
        <f t="shared" si="16"/>
        <v>13.75</v>
      </c>
      <c r="V25" s="29">
        <f t="shared" si="16"/>
        <v>19.0625</v>
      </c>
      <c r="W25" s="29">
        <f t="shared" si="16"/>
        <v>25</v>
      </c>
    </row>
    <row r="26" spans="3:23" x14ac:dyDescent="0.35">
      <c r="C26" s="27">
        <v>8</v>
      </c>
      <c r="D26" s="27">
        <f t="shared" si="1"/>
        <v>-4</v>
      </c>
      <c r="E26" s="29">
        <f t="shared" ref="E26:W26" si="17">$D$26*E10</f>
        <v>44</v>
      </c>
      <c r="F26" s="29">
        <f t="shared" si="17"/>
        <v>29</v>
      </c>
      <c r="G26" s="29">
        <f t="shared" si="17"/>
        <v>16</v>
      </c>
      <c r="H26" s="29">
        <f t="shared" si="17"/>
        <v>5</v>
      </c>
      <c r="I26" s="29">
        <f t="shared" si="17"/>
        <v>-4</v>
      </c>
      <c r="J26" s="29">
        <f t="shared" si="17"/>
        <v>-11</v>
      </c>
      <c r="K26" s="29">
        <f t="shared" si="17"/>
        <v>-16</v>
      </c>
      <c r="L26" s="29">
        <f t="shared" si="17"/>
        <v>-19</v>
      </c>
      <c r="M26" s="29">
        <f t="shared" si="17"/>
        <v>-20</v>
      </c>
      <c r="N26" s="29">
        <f t="shared" si="17"/>
        <v>-19</v>
      </c>
      <c r="O26" s="29">
        <f t="shared" si="17"/>
        <v>-16</v>
      </c>
      <c r="P26" s="29">
        <f t="shared" si="17"/>
        <v>-11</v>
      </c>
      <c r="Q26" s="29">
        <f t="shared" si="17"/>
        <v>-4</v>
      </c>
      <c r="R26" s="29">
        <f t="shared" si="17"/>
        <v>5</v>
      </c>
      <c r="S26" s="29">
        <f t="shared" si="17"/>
        <v>16</v>
      </c>
      <c r="T26" s="29">
        <f t="shared" si="17"/>
        <v>29</v>
      </c>
      <c r="U26" s="29">
        <f t="shared" si="17"/>
        <v>44</v>
      </c>
      <c r="V26" s="29">
        <f t="shared" si="17"/>
        <v>61</v>
      </c>
      <c r="W26" s="29">
        <f t="shared" si="17"/>
        <v>80</v>
      </c>
    </row>
    <row r="27" spans="3:23" x14ac:dyDescent="0.35">
      <c r="C27" s="27">
        <v>8.5</v>
      </c>
      <c r="D27" s="27">
        <f t="shared" si="1"/>
        <v>-7.25</v>
      </c>
      <c r="E27" s="29">
        <f t="shared" ref="E27:W27" si="18">$D$27*E10</f>
        <v>79.75</v>
      </c>
      <c r="F27" s="29">
        <f t="shared" si="18"/>
        <v>52.5625</v>
      </c>
      <c r="G27" s="29">
        <f t="shared" si="18"/>
        <v>29</v>
      </c>
      <c r="H27" s="29">
        <f t="shared" si="18"/>
        <v>9.0625</v>
      </c>
      <c r="I27" s="29">
        <f t="shared" si="18"/>
        <v>-7.25</v>
      </c>
      <c r="J27" s="29">
        <f t="shared" si="18"/>
        <v>-19.9375</v>
      </c>
      <c r="K27" s="29">
        <f t="shared" si="18"/>
        <v>-29</v>
      </c>
      <c r="L27" s="29">
        <f t="shared" si="18"/>
        <v>-34.4375</v>
      </c>
      <c r="M27" s="29">
        <f t="shared" si="18"/>
        <v>-36.25</v>
      </c>
      <c r="N27" s="29">
        <f t="shared" si="18"/>
        <v>-34.4375</v>
      </c>
      <c r="O27" s="29">
        <f t="shared" si="18"/>
        <v>-29</v>
      </c>
      <c r="P27" s="29">
        <f t="shared" si="18"/>
        <v>-19.9375</v>
      </c>
      <c r="Q27" s="29">
        <f t="shared" si="18"/>
        <v>-7.25</v>
      </c>
      <c r="R27" s="29">
        <f t="shared" si="18"/>
        <v>9.0625</v>
      </c>
      <c r="S27" s="29">
        <f t="shared" si="18"/>
        <v>29</v>
      </c>
      <c r="T27" s="29">
        <f t="shared" si="18"/>
        <v>52.5625</v>
      </c>
      <c r="U27" s="29">
        <f t="shared" si="18"/>
        <v>79.75</v>
      </c>
      <c r="V27" s="29">
        <f t="shared" si="18"/>
        <v>110.5625</v>
      </c>
      <c r="W27" s="29">
        <f t="shared" si="18"/>
        <v>145</v>
      </c>
    </row>
    <row r="28" spans="3:23" x14ac:dyDescent="0.35">
      <c r="C28" s="27">
        <v>9</v>
      </c>
      <c r="D28" s="27">
        <f t="shared" si="1"/>
        <v>-11</v>
      </c>
      <c r="E28" s="29">
        <f t="shared" ref="E28:W28" si="19">$D$28*E10</f>
        <v>121</v>
      </c>
      <c r="F28" s="29">
        <f t="shared" si="19"/>
        <v>79.75</v>
      </c>
      <c r="G28" s="29">
        <f t="shared" si="19"/>
        <v>44</v>
      </c>
      <c r="H28" s="29">
        <f t="shared" si="19"/>
        <v>13.75</v>
      </c>
      <c r="I28" s="29">
        <f t="shared" si="19"/>
        <v>-11</v>
      </c>
      <c r="J28" s="29">
        <f t="shared" si="19"/>
        <v>-30.25</v>
      </c>
      <c r="K28" s="29">
        <f t="shared" si="19"/>
        <v>-44</v>
      </c>
      <c r="L28" s="29">
        <f t="shared" si="19"/>
        <v>-52.25</v>
      </c>
      <c r="M28" s="29">
        <f t="shared" si="19"/>
        <v>-55</v>
      </c>
      <c r="N28" s="29">
        <f t="shared" si="19"/>
        <v>-52.25</v>
      </c>
      <c r="O28" s="29">
        <f t="shared" si="19"/>
        <v>-44</v>
      </c>
      <c r="P28" s="29">
        <f t="shared" si="19"/>
        <v>-30.25</v>
      </c>
      <c r="Q28" s="29">
        <f t="shared" si="19"/>
        <v>-11</v>
      </c>
      <c r="R28" s="29">
        <f t="shared" si="19"/>
        <v>13.75</v>
      </c>
      <c r="S28" s="29">
        <f t="shared" si="19"/>
        <v>44</v>
      </c>
      <c r="T28" s="29">
        <f t="shared" si="19"/>
        <v>79.75</v>
      </c>
      <c r="U28" s="29">
        <f t="shared" si="19"/>
        <v>121</v>
      </c>
      <c r="V28" s="29">
        <f t="shared" si="19"/>
        <v>167.75</v>
      </c>
      <c r="W28" s="29">
        <f t="shared" si="19"/>
        <v>220</v>
      </c>
    </row>
    <row r="29" spans="3:23" x14ac:dyDescent="0.35">
      <c r="C29" s="27">
        <v>9.5</v>
      </c>
      <c r="D29" s="27">
        <f t="shared" si="1"/>
        <v>-15.25</v>
      </c>
      <c r="E29" s="29">
        <f t="shared" ref="E29:W29" si="20">$D$29*E10</f>
        <v>167.75</v>
      </c>
      <c r="F29" s="29">
        <f t="shared" si="20"/>
        <v>110.5625</v>
      </c>
      <c r="G29" s="29">
        <f t="shared" si="20"/>
        <v>61</v>
      </c>
      <c r="H29" s="29">
        <f t="shared" si="20"/>
        <v>19.0625</v>
      </c>
      <c r="I29" s="29">
        <f t="shared" si="20"/>
        <v>-15.25</v>
      </c>
      <c r="J29" s="29">
        <f t="shared" si="20"/>
        <v>-41.9375</v>
      </c>
      <c r="K29" s="29">
        <f t="shared" si="20"/>
        <v>-61</v>
      </c>
      <c r="L29" s="29">
        <f t="shared" si="20"/>
        <v>-72.4375</v>
      </c>
      <c r="M29" s="29">
        <f t="shared" si="20"/>
        <v>-76.25</v>
      </c>
      <c r="N29" s="29">
        <f t="shared" si="20"/>
        <v>-72.4375</v>
      </c>
      <c r="O29" s="29">
        <f t="shared" si="20"/>
        <v>-61</v>
      </c>
      <c r="P29" s="29">
        <f t="shared" si="20"/>
        <v>-41.9375</v>
      </c>
      <c r="Q29" s="29">
        <f t="shared" si="20"/>
        <v>-15.25</v>
      </c>
      <c r="R29" s="29">
        <f t="shared" si="20"/>
        <v>19.0625</v>
      </c>
      <c r="S29" s="29">
        <f t="shared" si="20"/>
        <v>61</v>
      </c>
      <c r="T29" s="29">
        <f t="shared" si="20"/>
        <v>110.5625</v>
      </c>
      <c r="U29" s="29">
        <f t="shared" si="20"/>
        <v>167.75</v>
      </c>
      <c r="V29" s="29">
        <f t="shared" si="20"/>
        <v>232.5625</v>
      </c>
      <c r="W29" s="29">
        <f t="shared" si="20"/>
        <v>305</v>
      </c>
    </row>
    <row r="30" spans="3:23" x14ac:dyDescent="0.35">
      <c r="C30" s="27">
        <v>10</v>
      </c>
      <c r="D30" s="27">
        <f t="shared" si="1"/>
        <v>-20</v>
      </c>
      <c r="E30" s="29">
        <f t="shared" ref="E30:W30" si="21">$D$30*E10</f>
        <v>220</v>
      </c>
      <c r="F30" s="29">
        <f t="shared" si="21"/>
        <v>145</v>
      </c>
      <c r="G30" s="29">
        <f t="shared" si="21"/>
        <v>80</v>
      </c>
      <c r="H30" s="29">
        <f t="shared" si="21"/>
        <v>25</v>
      </c>
      <c r="I30" s="29">
        <f t="shared" si="21"/>
        <v>-20</v>
      </c>
      <c r="J30" s="29">
        <f t="shared" si="21"/>
        <v>-55</v>
      </c>
      <c r="K30" s="29">
        <f t="shared" si="21"/>
        <v>-80</v>
      </c>
      <c r="L30" s="29">
        <f t="shared" si="21"/>
        <v>-95</v>
      </c>
      <c r="M30" s="29">
        <f t="shared" si="21"/>
        <v>-100</v>
      </c>
      <c r="N30" s="29">
        <f t="shared" si="21"/>
        <v>-95</v>
      </c>
      <c r="O30" s="29">
        <f t="shared" si="21"/>
        <v>-80</v>
      </c>
      <c r="P30" s="29">
        <f t="shared" si="21"/>
        <v>-55</v>
      </c>
      <c r="Q30" s="29">
        <f t="shared" si="21"/>
        <v>-20</v>
      </c>
      <c r="R30" s="29">
        <f t="shared" si="21"/>
        <v>25</v>
      </c>
      <c r="S30" s="29">
        <f t="shared" si="21"/>
        <v>80</v>
      </c>
      <c r="T30" s="29">
        <f t="shared" si="21"/>
        <v>145</v>
      </c>
      <c r="U30" s="29">
        <f t="shared" si="21"/>
        <v>220</v>
      </c>
      <c r="V30" s="29">
        <f t="shared" si="21"/>
        <v>305</v>
      </c>
      <c r="W30" s="29">
        <f t="shared" si="21"/>
        <v>400</v>
      </c>
    </row>
    <row r="40" spans="5:6" s="26" customFormat="1" ht="18.5" x14ac:dyDescent="0.45">
      <c r="E40" s="30" t="s">
        <v>62</v>
      </c>
      <c r="F40" s="31">
        <v>5</v>
      </c>
    </row>
    <row r="41" spans="5:6" s="26" customFormat="1" ht="18.5" x14ac:dyDescent="0.45">
      <c r="E41" s="30" t="s">
        <v>63</v>
      </c>
      <c r="F41" s="31">
        <v>5</v>
      </c>
    </row>
  </sheetData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433" r:id="rId4" name="Scroll Bar 1">
              <controlPr defaultSize="0" autoPict="0">
                <anchor moveWithCells="1">
                  <from>
                    <xdr:col>5</xdr:col>
                    <xdr:colOff>457200</xdr:colOff>
                    <xdr:row>39</xdr:row>
                    <xdr:rowOff>57150</xdr:rowOff>
                  </from>
                  <to>
                    <xdr:col>9</xdr:col>
                    <xdr:colOff>355600</xdr:colOff>
                    <xdr:row>39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4" r:id="rId5" name="Scroll Bar 2">
              <controlPr defaultSize="0" autoPict="0">
                <anchor moveWithCells="1">
                  <from>
                    <xdr:col>5</xdr:col>
                    <xdr:colOff>457200</xdr:colOff>
                    <xdr:row>40</xdr:row>
                    <xdr:rowOff>0</xdr:rowOff>
                  </from>
                  <to>
                    <xdr:col>9</xdr:col>
                    <xdr:colOff>355600</xdr:colOff>
                    <xdr:row>40</xdr:row>
                    <xdr:rowOff>165100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B1:H65"/>
  <sheetViews>
    <sheetView topLeftCell="A6" workbookViewId="0">
      <selection activeCell="I11" sqref="I11"/>
    </sheetView>
  </sheetViews>
  <sheetFormatPr defaultColWidth="11.453125" defaultRowHeight="14.5" x14ac:dyDescent="0.35"/>
  <cols>
    <col min="2" max="2" width="17.7265625" customWidth="1"/>
    <col min="3" max="3" width="15.26953125" customWidth="1"/>
    <col min="4" max="4" width="15.453125" customWidth="1"/>
    <col min="5" max="5" width="21.1796875" customWidth="1"/>
    <col min="6" max="6" width="18.7265625" customWidth="1"/>
    <col min="7" max="7" width="21.26953125" customWidth="1"/>
  </cols>
  <sheetData>
    <row r="1" spans="2:8" x14ac:dyDescent="0.35">
      <c r="G1" s="2"/>
      <c r="H1" s="2"/>
    </row>
    <row r="2" spans="2:8" ht="21" x14ac:dyDescent="0.5">
      <c r="B2" s="67" t="s">
        <v>180</v>
      </c>
      <c r="C2" s="67"/>
      <c r="D2" s="67"/>
      <c r="G2" s="2"/>
      <c r="H2" s="2"/>
    </row>
    <row r="3" spans="2:8" ht="21" x14ac:dyDescent="0.5">
      <c r="B3" s="64"/>
      <c r="C3" s="64"/>
      <c r="D3" s="64"/>
      <c r="G3" s="2"/>
      <c r="H3" s="2"/>
    </row>
    <row r="4" spans="2:8" x14ac:dyDescent="0.35">
      <c r="B4" s="53"/>
      <c r="C4" s="2"/>
      <c r="D4" s="2"/>
      <c r="E4" s="2"/>
      <c r="F4" s="2"/>
      <c r="G4" s="2"/>
      <c r="H4" s="2"/>
    </row>
    <row r="5" spans="2:8" s="37" customFormat="1" x14ac:dyDescent="0.35">
      <c r="B5" s="51" t="s">
        <v>90</v>
      </c>
      <c r="C5" s="51" t="s">
        <v>91</v>
      </c>
      <c r="D5" s="51" t="s">
        <v>92</v>
      </c>
      <c r="E5" s="51" t="s">
        <v>93</v>
      </c>
      <c r="F5" s="35"/>
      <c r="G5" s="36"/>
      <c r="H5" s="36"/>
    </row>
    <row r="6" spans="2:8" x14ac:dyDescent="0.35">
      <c r="B6" s="2" t="s">
        <v>1</v>
      </c>
      <c r="C6" s="2" t="s">
        <v>2</v>
      </c>
      <c r="D6" s="22">
        <v>147</v>
      </c>
      <c r="E6" s="24">
        <f t="shared" ref="E6:E23" ca="1" si="0">RANDBETWEEN(TODAY()-15,TODAY()+15)</f>
        <v>45137</v>
      </c>
      <c r="F6" s="22"/>
      <c r="G6" s="2"/>
      <c r="H6" s="2"/>
    </row>
    <row r="7" spans="2:8" x14ac:dyDescent="0.35">
      <c r="B7" s="2" t="s">
        <v>3</v>
      </c>
      <c r="C7" s="2" t="s">
        <v>4</v>
      </c>
      <c r="D7" s="22">
        <v>154</v>
      </c>
      <c r="E7" s="24">
        <f t="shared" ca="1" si="0"/>
        <v>45135</v>
      </c>
      <c r="F7" s="22"/>
      <c r="G7" s="2"/>
      <c r="H7" s="2"/>
    </row>
    <row r="8" spans="2:8" x14ac:dyDescent="0.35">
      <c r="B8" s="2" t="s">
        <v>5</v>
      </c>
      <c r="C8" s="2" t="s">
        <v>6</v>
      </c>
      <c r="D8" s="22">
        <v>136</v>
      </c>
      <c r="E8" s="24">
        <f t="shared" ca="1" si="0"/>
        <v>45138</v>
      </c>
      <c r="F8" s="22"/>
      <c r="G8" s="2"/>
      <c r="H8" s="2"/>
    </row>
    <row r="9" spans="2:8" x14ac:dyDescent="0.35">
      <c r="B9" s="2" t="s">
        <v>7</v>
      </c>
      <c r="C9" s="2" t="s">
        <v>8</v>
      </c>
      <c r="D9" s="22">
        <v>175</v>
      </c>
      <c r="E9" s="24">
        <f t="shared" ca="1" si="0"/>
        <v>45122</v>
      </c>
      <c r="F9" s="22"/>
      <c r="G9" s="2"/>
      <c r="H9" s="2"/>
    </row>
    <row r="10" spans="2:8" x14ac:dyDescent="0.35">
      <c r="B10" s="2" t="s">
        <v>9</v>
      </c>
      <c r="C10" s="2" t="s">
        <v>10</v>
      </c>
      <c r="D10" s="22">
        <v>132</v>
      </c>
      <c r="E10" s="24">
        <f t="shared" ca="1" si="0"/>
        <v>45124</v>
      </c>
      <c r="F10" s="23"/>
      <c r="G10" s="2"/>
      <c r="H10" s="2"/>
    </row>
    <row r="11" spans="2:8" x14ac:dyDescent="0.35">
      <c r="B11" s="2" t="s">
        <v>11</v>
      </c>
      <c r="C11" s="2" t="s">
        <v>12</v>
      </c>
      <c r="D11" s="22">
        <v>133</v>
      </c>
      <c r="E11" s="24">
        <f t="shared" ca="1" si="0"/>
        <v>45124</v>
      </c>
      <c r="F11" s="22"/>
      <c r="G11" s="2"/>
      <c r="H11" s="2"/>
    </row>
    <row r="12" spans="2:8" x14ac:dyDescent="0.35">
      <c r="B12" s="2" t="s">
        <v>13</v>
      </c>
      <c r="C12" s="2" t="s">
        <v>14</v>
      </c>
      <c r="D12" s="22">
        <v>152</v>
      </c>
      <c r="E12" s="24">
        <f t="shared" ca="1" si="0"/>
        <v>45141</v>
      </c>
      <c r="F12" s="22"/>
      <c r="G12" s="2"/>
      <c r="H12" s="2"/>
    </row>
    <row r="13" spans="2:8" x14ac:dyDescent="0.35">
      <c r="B13" s="2" t="s">
        <v>15</v>
      </c>
      <c r="C13" s="2" t="s">
        <v>16</v>
      </c>
      <c r="D13" s="22">
        <v>144</v>
      </c>
      <c r="E13" s="24">
        <f t="shared" ca="1" si="0"/>
        <v>45123</v>
      </c>
      <c r="F13" s="22"/>
      <c r="G13" s="2"/>
      <c r="H13" s="2"/>
    </row>
    <row r="14" spans="2:8" x14ac:dyDescent="0.35">
      <c r="B14" s="2" t="s">
        <v>17</v>
      </c>
      <c r="C14" s="2" t="s">
        <v>18</v>
      </c>
      <c r="D14" s="22">
        <v>130</v>
      </c>
      <c r="E14" s="24">
        <f t="shared" ca="1" si="0"/>
        <v>45122</v>
      </c>
      <c r="F14" s="22"/>
      <c r="G14" s="2"/>
      <c r="H14" s="2"/>
    </row>
    <row r="15" spans="2:8" x14ac:dyDescent="0.35">
      <c r="B15" s="2" t="s">
        <v>19</v>
      </c>
      <c r="C15" s="2" t="s">
        <v>20</v>
      </c>
      <c r="D15" s="22">
        <v>152</v>
      </c>
      <c r="E15" s="24">
        <f t="shared" ca="1" si="0"/>
        <v>45129</v>
      </c>
      <c r="F15" s="22"/>
      <c r="G15" s="2"/>
      <c r="H15" s="2"/>
    </row>
    <row r="16" spans="2:8" x14ac:dyDescent="0.35">
      <c r="B16" s="2" t="s">
        <v>21</v>
      </c>
      <c r="C16" s="2" t="s">
        <v>22</v>
      </c>
      <c r="D16" s="22">
        <v>144</v>
      </c>
      <c r="E16" s="24">
        <f t="shared" ca="1" si="0"/>
        <v>45149</v>
      </c>
      <c r="F16" s="22"/>
      <c r="G16" s="2"/>
      <c r="H16" s="2"/>
    </row>
    <row r="17" spans="2:8" x14ac:dyDescent="0.35">
      <c r="B17" s="2" t="s">
        <v>23</v>
      </c>
      <c r="C17" s="2" t="s">
        <v>24</v>
      </c>
      <c r="D17" s="22">
        <v>140</v>
      </c>
      <c r="E17" s="24">
        <f t="shared" ca="1" si="0"/>
        <v>45123</v>
      </c>
      <c r="F17" s="22"/>
      <c r="G17" s="2"/>
      <c r="H17" s="2"/>
    </row>
    <row r="18" spans="2:8" x14ac:dyDescent="0.35">
      <c r="B18" s="2" t="s">
        <v>25</v>
      </c>
      <c r="C18" s="2" t="s">
        <v>26</v>
      </c>
      <c r="D18" s="22">
        <v>160</v>
      </c>
      <c r="E18" s="24">
        <f t="shared" ca="1" si="0"/>
        <v>45120</v>
      </c>
      <c r="F18" s="22"/>
      <c r="G18" s="2"/>
      <c r="H18" s="2"/>
    </row>
    <row r="19" spans="2:8" x14ac:dyDescent="0.35">
      <c r="B19" s="2" t="s">
        <v>27</v>
      </c>
      <c r="C19" s="2" t="s">
        <v>28</v>
      </c>
      <c r="D19" s="22">
        <v>139</v>
      </c>
      <c r="E19" s="24">
        <f t="shared" ca="1" si="0"/>
        <v>45143</v>
      </c>
      <c r="F19" s="22"/>
      <c r="G19" s="2"/>
      <c r="H19" s="2"/>
    </row>
    <row r="20" spans="2:8" x14ac:dyDescent="0.35">
      <c r="B20" s="2" t="s">
        <v>29</v>
      </c>
      <c r="C20" s="2" t="s">
        <v>30</v>
      </c>
      <c r="D20" s="22">
        <v>147</v>
      </c>
      <c r="E20" s="24">
        <f t="shared" ca="1" si="0"/>
        <v>45125</v>
      </c>
      <c r="F20" s="22"/>
      <c r="G20" s="2"/>
      <c r="H20" s="2"/>
    </row>
    <row r="21" spans="2:8" x14ac:dyDescent="0.35">
      <c r="B21" s="2" t="s">
        <v>31</v>
      </c>
      <c r="C21" s="2" t="s">
        <v>32</v>
      </c>
      <c r="D21" s="22">
        <v>129</v>
      </c>
      <c r="E21" s="24">
        <f t="shared" ca="1" si="0"/>
        <v>45148</v>
      </c>
      <c r="F21" s="22"/>
      <c r="G21" s="2"/>
      <c r="H21" s="2"/>
    </row>
    <row r="22" spans="2:8" x14ac:dyDescent="0.35">
      <c r="B22" s="2" t="s">
        <v>33</v>
      </c>
      <c r="C22" s="2" t="s">
        <v>8</v>
      </c>
      <c r="D22" s="22">
        <v>138</v>
      </c>
      <c r="E22" s="24">
        <f t="shared" ca="1" si="0"/>
        <v>45136</v>
      </c>
      <c r="F22" s="22"/>
      <c r="G22" s="2"/>
      <c r="H22" s="2"/>
    </row>
    <row r="23" spans="2:8" x14ac:dyDescent="0.35">
      <c r="B23" s="2" t="s">
        <v>34</v>
      </c>
      <c r="C23" s="2" t="s">
        <v>35</v>
      </c>
      <c r="D23" s="22">
        <v>146</v>
      </c>
      <c r="E23" s="24">
        <f t="shared" ca="1" si="0"/>
        <v>45148</v>
      </c>
      <c r="F23" s="22"/>
      <c r="G23" s="2"/>
      <c r="H23" s="2"/>
    </row>
    <row r="26" spans="2:8" x14ac:dyDescent="0.35">
      <c r="B26" s="51" t="s">
        <v>90</v>
      </c>
      <c r="C26" s="51" t="s">
        <v>91</v>
      </c>
      <c r="D26" s="51" t="s">
        <v>92</v>
      </c>
      <c r="E26" s="51" t="s">
        <v>93</v>
      </c>
    </row>
    <row r="27" spans="2:8" x14ac:dyDescent="0.35">
      <c r="B27" s="2" t="s">
        <v>1</v>
      </c>
      <c r="C27" s="2" t="s">
        <v>2</v>
      </c>
      <c r="D27" s="22">
        <v>147</v>
      </c>
      <c r="E27" s="24">
        <f t="shared" ref="E27:E44" ca="1" si="1">RANDBETWEEN(TODAY()-15,TODAY()+15)</f>
        <v>45146</v>
      </c>
    </row>
    <row r="28" spans="2:8" x14ac:dyDescent="0.35">
      <c r="B28" s="2" t="s">
        <v>3</v>
      </c>
      <c r="C28" s="2" t="s">
        <v>4</v>
      </c>
      <c r="D28" s="22">
        <v>154</v>
      </c>
      <c r="E28" s="24">
        <f t="shared" ca="1" si="1"/>
        <v>45134</v>
      </c>
    </row>
    <row r="29" spans="2:8" x14ac:dyDescent="0.35">
      <c r="B29" s="2" t="s">
        <v>5</v>
      </c>
      <c r="C29" s="2" t="s">
        <v>6</v>
      </c>
      <c r="D29" s="22">
        <v>136</v>
      </c>
      <c r="E29" s="24">
        <f t="shared" ca="1" si="1"/>
        <v>45142</v>
      </c>
    </row>
    <row r="30" spans="2:8" x14ac:dyDescent="0.35">
      <c r="B30" s="2" t="s">
        <v>7</v>
      </c>
      <c r="C30" s="2" t="s">
        <v>8</v>
      </c>
      <c r="D30" s="22">
        <v>175</v>
      </c>
      <c r="E30" s="24">
        <f t="shared" ca="1" si="1"/>
        <v>45141</v>
      </c>
    </row>
    <row r="31" spans="2:8" x14ac:dyDescent="0.35">
      <c r="B31" s="2" t="s">
        <v>9</v>
      </c>
      <c r="C31" s="2" t="s">
        <v>10</v>
      </c>
      <c r="D31" s="22">
        <v>132</v>
      </c>
      <c r="E31" s="24">
        <f t="shared" ca="1" si="1"/>
        <v>45148</v>
      </c>
    </row>
    <row r="32" spans="2:8" x14ac:dyDescent="0.35">
      <c r="B32" s="2" t="s">
        <v>11</v>
      </c>
      <c r="C32" s="2" t="s">
        <v>12</v>
      </c>
      <c r="D32" s="22">
        <v>133</v>
      </c>
      <c r="E32" s="24">
        <f t="shared" ca="1" si="1"/>
        <v>45138</v>
      </c>
    </row>
    <row r="33" spans="2:5" x14ac:dyDescent="0.35">
      <c r="B33" s="2" t="s">
        <v>13</v>
      </c>
      <c r="C33" s="2" t="s">
        <v>14</v>
      </c>
      <c r="D33" s="22">
        <v>152</v>
      </c>
      <c r="E33" s="24">
        <f t="shared" ca="1" si="1"/>
        <v>45144</v>
      </c>
    </row>
    <row r="34" spans="2:5" x14ac:dyDescent="0.35">
      <c r="B34" s="2" t="s">
        <v>15</v>
      </c>
      <c r="C34" s="2" t="s">
        <v>16</v>
      </c>
      <c r="D34" s="22">
        <v>144</v>
      </c>
      <c r="E34" s="24">
        <f t="shared" ca="1" si="1"/>
        <v>45146</v>
      </c>
    </row>
    <row r="35" spans="2:5" x14ac:dyDescent="0.35">
      <c r="B35" s="2" t="s">
        <v>17</v>
      </c>
      <c r="C35" s="2" t="s">
        <v>18</v>
      </c>
      <c r="D35" s="22">
        <v>130</v>
      </c>
      <c r="E35" s="24">
        <f t="shared" ca="1" si="1"/>
        <v>45134</v>
      </c>
    </row>
    <row r="36" spans="2:5" x14ac:dyDescent="0.35">
      <c r="B36" s="2" t="s">
        <v>19</v>
      </c>
      <c r="C36" s="2" t="s">
        <v>20</v>
      </c>
      <c r="D36" s="22">
        <v>152</v>
      </c>
      <c r="E36" s="24">
        <f t="shared" ca="1" si="1"/>
        <v>45121</v>
      </c>
    </row>
    <row r="37" spans="2:5" x14ac:dyDescent="0.35">
      <c r="B37" s="2" t="s">
        <v>21</v>
      </c>
      <c r="C37" s="2" t="s">
        <v>22</v>
      </c>
      <c r="D37" s="22">
        <v>144</v>
      </c>
      <c r="E37" s="24">
        <f t="shared" ca="1" si="1"/>
        <v>45138</v>
      </c>
    </row>
    <row r="38" spans="2:5" x14ac:dyDescent="0.35">
      <c r="B38" s="2" t="s">
        <v>23</v>
      </c>
      <c r="C38" s="2" t="s">
        <v>24</v>
      </c>
      <c r="D38" s="22">
        <v>140</v>
      </c>
      <c r="E38" s="24">
        <f t="shared" ca="1" si="1"/>
        <v>45133</v>
      </c>
    </row>
    <row r="39" spans="2:5" x14ac:dyDescent="0.35">
      <c r="B39" s="2" t="s">
        <v>25</v>
      </c>
      <c r="C39" s="2" t="s">
        <v>26</v>
      </c>
      <c r="D39" s="22">
        <v>160</v>
      </c>
      <c r="E39" s="24">
        <f t="shared" ca="1" si="1"/>
        <v>45135</v>
      </c>
    </row>
    <row r="40" spans="2:5" x14ac:dyDescent="0.35">
      <c r="B40" s="2" t="s">
        <v>27</v>
      </c>
      <c r="C40" s="2" t="s">
        <v>28</v>
      </c>
      <c r="D40" s="22">
        <v>139</v>
      </c>
      <c r="E40" s="24">
        <f t="shared" ca="1" si="1"/>
        <v>45140</v>
      </c>
    </row>
    <row r="41" spans="2:5" x14ac:dyDescent="0.35">
      <c r="B41" s="2" t="s">
        <v>29</v>
      </c>
      <c r="C41" s="2" t="s">
        <v>30</v>
      </c>
      <c r="D41" s="22">
        <v>147</v>
      </c>
      <c r="E41" s="24">
        <f t="shared" ca="1" si="1"/>
        <v>45149</v>
      </c>
    </row>
    <row r="42" spans="2:5" x14ac:dyDescent="0.35">
      <c r="B42" s="2" t="s">
        <v>31</v>
      </c>
      <c r="C42" s="2" t="s">
        <v>32</v>
      </c>
      <c r="D42" s="22">
        <v>129</v>
      </c>
      <c r="E42" s="24">
        <f t="shared" ca="1" si="1"/>
        <v>45120</v>
      </c>
    </row>
    <row r="43" spans="2:5" x14ac:dyDescent="0.35">
      <c r="B43" s="2" t="s">
        <v>33</v>
      </c>
      <c r="C43" s="2" t="s">
        <v>8</v>
      </c>
      <c r="D43" s="22">
        <v>138</v>
      </c>
      <c r="E43" s="24">
        <f t="shared" ca="1" si="1"/>
        <v>45148</v>
      </c>
    </row>
    <row r="44" spans="2:5" x14ac:dyDescent="0.35">
      <c r="B44" s="2" t="s">
        <v>34</v>
      </c>
      <c r="C44" s="2" t="s">
        <v>35</v>
      </c>
      <c r="D44" s="22">
        <v>146</v>
      </c>
      <c r="E44" s="24">
        <f t="shared" ca="1" si="1"/>
        <v>45146</v>
      </c>
    </row>
    <row r="47" spans="2:5" x14ac:dyDescent="0.35">
      <c r="B47" s="51" t="s">
        <v>90</v>
      </c>
      <c r="C47" s="51" t="s">
        <v>91</v>
      </c>
      <c r="D47" s="51" t="s">
        <v>92</v>
      </c>
      <c r="E47" s="51" t="s">
        <v>93</v>
      </c>
    </row>
    <row r="48" spans="2:5" x14ac:dyDescent="0.35">
      <c r="B48" s="2" t="s">
        <v>1</v>
      </c>
      <c r="C48" s="2" t="s">
        <v>2</v>
      </c>
      <c r="D48" s="22">
        <v>147</v>
      </c>
      <c r="E48" s="24">
        <f t="shared" ref="E48:E65" ca="1" si="2">RANDBETWEEN(TODAY()-15,TODAY()+15)</f>
        <v>45123</v>
      </c>
    </row>
    <row r="49" spans="2:5" x14ac:dyDescent="0.35">
      <c r="B49" s="2" t="s">
        <v>3</v>
      </c>
      <c r="C49" s="2" t="s">
        <v>4</v>
      </c>
      <c r="D49" s="22">
        <v>154</v>
      </c>
      <c r="E49" s="24">
        <f t="shared" ca="1" si="2"/>
        <v>45141</v>
      </c>
    </row>
    <row r="50" spans="2:5" x14ac:dyDescent="0.35">
      <c r="B50" s="2" t="s">
        <v>5</v>
      </c>
      <c r="C50" s="2" t="s">
        <v>6</v>
      </c>
      <c r="D50" s="22">
        <v>136</v>
      </c>
      <c r="E50" s="24">
        <f t="shared" ca="1" si="2"/>
        <v>45125</v>
      </c>
    </row>
    <row r="51" spans="2:5" x14ac:dyDescent="0.35">
      <c r="B51" s="2" t="s">
        <v>7</v>
      </c>
      <c r="C51" s="2" t="s">
        <v>8</v>
      </c>
      <c r="D51" s="22">
        <v>175</v>
      </c>
      <c r="E51" s="24">
        <f t="shared" ca="1" si="2"/>
        <v>45147</v>
      </c>
    </row>
    <row r="52" spans="2:5" x14ac:dyDescent="0.35">
      <c r="B52" s="2" t="s">
        <v>9</v>
      </c>
      <c r="C52" s="2" t="s">
        <v>10</v>
      </c>
      <c r="D52" s="22">
        <v>132</v>
      </c>
      <c r="E52" s="24">
        <f t="shared" ca="1" si="2"/>
        <v>45123</v>
      </c>
    </row>
    <row r="53" spans="2:5" x14ac:dyDescent="0.35">
      <c r="B53" s="2" t="s">
        <v>11</v>
      </c>
      <c r="C53" s="2" t="s">
        <v>12</v>
      </c>
      <c r="D53" s="22">
        <v>133</v>
      </c>
      <c r="E53" s="24">
        <f t="shared" ca="1" si="2"/>
        <v>45140</v>
      </c>
    </row>
    <row r="54" spans="2:5" x14ac:dyDescent="0.35">
      <c r="B54" s="2" t="s">
        <v>13</v>
      </c>
      <c r="C54" s="2" t="s">
        <v>14</v>
      </c>
      <c r="D54" s="22">
        <v>152</v>
      </c>
      <c r="E54" s="24">
        <f t="shared" ca="1" si="2"/>
        <v>45126</v>
      </c>
    </row>
    <row r="55" spans="2:5" x14ac:dyDescent="0.35">
      <c r="B55" s="2" t="s">
        <v>15</v>
      </c>
      <c r="C55" s="2" t="s">
        <v>16</v>
      </c>
      <c r="D55" s="22">
        <v>144</v>
      </c>
      <c r="E55" s="24">
        <f t="shared" ca="1" si="2"/>
        <v>45150</v>
      </c>
    </row>
    <row r="56" spans="2:5" x14ac:dyDescent="0.35">
      <c r="B56" s="2" t="s">
        <v>17</v>
      </c>
      <c r="C56" s="2" t="s">
        <v>18</v>
      </c>
      <c r="D56" s="22">
        <v>130</v>
      </c>
      <c r="E56" s="24">
        <f t="shared" ca="1" si="2"/>
        <v>45136</v>
      </c>
    </row>
    <row r="57" spans="2:5" x14ac:dyDescent="0.35">
      <c r="B57" s="2" t="s">
        <v>19</v>
      </c>
      <c r="C57" s="2" t="s">
        <v>20</v>
      </c>
      <c r="D57" s="22">
        <v>152</v>
      </c>
      <c r="E57" s="24">
        <f t="shared" ca="1" si="2"/>
        <v>45139</v>
      </c>
    </row>
    <row r="58" spans="2:5" x14ac:dyDescent="0.35">
      <c r="B58" s="2" t="s">
        <v>21</v>
      </c>
      <c r="C58" s="2" t="s">
        <v>22</v>
      </c>
      <c r="D58" s="22">
        <v>144</v>
      </c>
      <c r="E58" s="24">
        <f t="shared" ca="1" si="2"/>
        <v>45145</v>
      </c>
    </row>
    <row r="59" spans="2:5" x14ac:dyDescent="0.35">
      <c r="B59" s="2" t="s">
        <v>23</v>
      </c>
      <c r="C59" s="2" t="s">
        <v>24</v>
      </c>
      <c r="D59" s="22">
        <v>140</v>
      </c>
      <c r="E59" s="24">
        <f t="shared" ca="1" si="2"/>
        <v>45127</v>
      </c>
    </row>
    <row r="60" spans="2:5" x14ac:dyDescent="0.35">
      <c r="B60" s="2" t="s">
        <v>25</v>
      </c>
      <c r="C60" s="2" t="s">
        <v>26</v>
      </c>
      <c r="D60" s="22">
        <v>160</v>
      </c>
      <c r="E60" s="24">
        <f t="shared" ca="1" si="2"/>
        <v>45132</v>
      </c>
    </row>
    <row r="61" spans="2:5" x14ac:dyDescent="0.35">
      <c r="B61" s="2" t="s">
        <v>27</v>
      </c>
      <c r="C61" s="2" t="s">
        <v>28</v>
      </c>
      <c r="D61" s="22">
        <v>139</v>
      </c>
      <c r="E61" s="24">
        <f t="shared" ca="1" si="2"/>
        <v>45141</v>
      </c>
    </row>
    <row r="62" spans="2:5" x14ac:dyDescent="0.35">
      <c r="B62" s="2" t="s">
        <v>29</v>
      </c>
      <c r="C62" s="2" t="s">
        <v>30</v>
      </c>
      <c r="D62" s="22">
        <v>147</v>
      </c>
      <c r="E62" s="24">
        <f t="shared" ca="1" si="2"/>
        <v>45150</v>
      </c>
    </row>
    <row r="63" spans="2:5" x14ac:dyDescent="0.35">
      <c r="B63" s="2" t="s">
        <v>31</v>
      </c>
      <c r="C63" s="2" t="s">
        <v>32</v>
      </c>
      <c r="D63" s="22">
        <v>129</v>
      </c>
      <c r="E63" s="24">
        <f t="shared" ca="1" si="2"/>
        <v>45120</v>
      </c>
    </row>
    <row r="64" spans="2:5" x14ac:dyDescent="0.35">
      <c r="B64" s="2" t="s">
        <v>33</v>
      </c>
      <c r="C64" s="2" t="s">
        <v>8</v>
      </c>
      <c r="D64" s="22">
        <v>138</v>
      </c>
      <c r="E64" s="24">
        <f t="shared" ca="1" si="2"/>
        <v>45145</v>
      </c>
    </row>
    <row r="65" spans="2:5" x14ac:dyDescent="0.35">
      <c r="B65" s="2" t="s">
        <v>34</v>
      </c>
      <c r="C65" s="2" t="s">
        <v>35</v>
      </c>
      <c r="D65" s="22">
        <v>146</v>
      </c>
      <c r="E65" s="24">
        <f t="shared" ca="1" si="2"/>
        <v>45131</v>
      </c>
    </row>
  </sheetData>
  <mergeCells count="1">
    <mergeCell ref="B2:D2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2">
    <tabColor rgb="FF00B0F0"/>
  </sheetPr>
  <dimension ref="B1:M38"/>
  <sheetViews>
    <sheetView zoomScaleNormal="100" workbookViewId="0">
      <selection activeCell="C6" sqref="C6"/>
    </sheetView>
  </sheetViews>
  <sheetFormatPr defaultColWidth="11.453125" defaultRowHeight="14.5" x14ac:dyDescent="0.35"/>
  <cols>
    <col min="2" max="2" width="14.1796875" customWidth="1"/>
    <col min="3" max="3" width="15.26953125" customWidth="1"/>
    <col min="4" max="4" width="15.453125" customWidth="1"/>
    <col min="5" max="5" width="21.1796875" customWidth="1"/>
    <col min="6" max="7" width="18.7265625" customWidth="1"/>
    <col min="8" max="8" width="2.453125" customWidth="1"/>
    <col min="9" max="9" width="21.81640625" customWidth="1"/>
    <col min="11" max="11" width="15" bestFit="1" customWidth="1"/>
    <col min="12" max="12" width="21.26953125" customWidth="1"/>
  </cols>
  <sheetData>
    <row r="1" spans="2:13" ht="15.5" x14ac:dyDescent="0.35">
      <c r="I1" s="2"/>
      <c r="J1" s="2"/>
      <c r="K1" s="21"/>
      <c r="L1" s="2"/>
      <c r="M1" s="2"/>
    </row>
    <row r="2" spans="2:13" ht="18.5" x14ac:dyDescent="0.45">
      <c r="B2" s="59" t="s">
        <v>169</v>
      </c>
      <c r="C2" s="56" t="s">
        <v>181</v>
      </c>
      <c r="I2" s="2"/>
      <c r="J2" s="2"/>
      <c r="K2" s="21"/>
      <c r="L2" s="2"/>
      <c r="M2" s="2"/>
    </row>
    <row r="3" spans="2:13" ht="18.5" x14ac:dyDescent="0.45">
      <c r="B3" s="58"/>
      <c r="C3" s="56"/>
      <c r="I3" s="2"/>
      <c r="J3" s="2"/>
      <c r="K3" s="21"/>
      <c r="L3" s="2"/>
      <c r="M3" s="2"/>
    </row>
    <row r="4" spans="2:13" ht="18.5" x14ac:dyDescent="0.45">
      <c r="B4" s="58"/>
      <c r="I4" s="2"/>
      <c r="J4" s="2"/>
      <c r="K4" s="21"/>
      <c r="L4" s="2"/>
      <c r="M4" s="2"/>
    </row>
    <row r="5" spans="2:13" ht="96.75" customHeight="1" x14ac:dyDescent="0.35">
      <c r="B5" s="61" t="s">
        <v>170</v>
      </c>
      <c r="C5" s="68" t="s">
        <v>183</v>
      </c>
      <c r="D5" s="68"/>
      <c r="E5" s="68"/>
      <c r="F5" s="68"/>
      <c r="G5" s="68"/>
      <c r="I5" s="2"/>
      <c r="J5" s="2"/>
      <c r="K5" s="21"/>
      <c r="L5" s="2"/>
      <c r="M5" s="2"/>
    </row>
    <row r="6" spans="2:13" ht="18.5" x14ac:dyDescent="0.45">
      <c r="B6" s="60"/>
      <c r="C6" s="56"/>
      <c r="I6" s="2"/>
      <c r="J6" s="2"/>
      <c r="K6" s="21"/>
      <c r="L6" s="2"/>
      <c r="M6" s="2"/>
    </row>
    <row r="7" spans="2:13" x14ac:dyDescent="0.3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2:13" s="37" customFormat="1" ht="15" thickBot="1" x14ac:dyDescent="0.4">
      <c r="B8" s="51" t="s">
        <v>90</v>
      </c>
      <c r="C8" s="51" t="s">
        <v>91</v>
      </c>
      <c r="D8" s="51" t="s">
        <v>92</v>
      </c>
      <c r="E8" s="51" t="s">
        <v>93</v>
      </c>
      <c r="F8" s="51" t="s">
        <v>94</v>
      </c>
      <c r="G8" s="35"/>
      <c r="H8" s="35"/>
      <c r="I8" s="52" t="s">
        <v>95</v>
      </c>
      <c r="J8" s="36"/>
      <c r="K8" s="36"/>
      <c r="L8" s="36"/>
      <c r="M8" s="36"/>
    </row>
    <row r="9" spans="2:13" ht="15" thickTop="1" x14ac:dyDescent="0.35">
      <c r="B9" s="2" t="s">
        <v>1</v>
      </c>
      <c r="C9" s="2" t="s">
        <v>2</v>
      </c>
      <c r="D9" s="22">
        <v>147</v>
      </c>
      <c r="E9" s="24">
        <f t="shared" ref="E9:E26" ca="1" si="0">RANDBETWEEN(TODAY()-15,TODAY()+15)</f>
        <v>45148</v>
      </c>
      <c r="F9" s="22"/>
      <c r="G9" s="22"/>
      <c r="H9" s="22"/>
      <c r="I9" s="47"/>
      <c r="J9" s="2"/>
      <c r="K9" s="2"/>
      <c r="L9" s="2" t="s">
        <v>97</v>
      </c>
      <c r="M9" s="32"/>
    </row>
    <row r="10" spans="2:13" x14ac:dyDescent="0.35">
      <c r="B10" s="2" t="s">
        <v>3</v>
      </c>
      <c r="C10" s="2" t="s">
        <v>4</v>
      </c>
      <c r="D10" s="22">
        <v>154</v>
      </c>
      <c r="E10" s="24">
        <f t="shared" ca="1" si="0"/>
        <v>45140</v>
      </c>
      <c r="F10" s="22"/>
      <c r="G10" s="22"/>
      <c r="H10" s="22"/>
      <c r="I10" s="47"/>
      <c r="J10" s="2"/>
      <c r="K10" s="2"/>
      <c r="L10" s="2" t="s">
        <v>96</v>
      </c>
      <c r="M10" s="33"/>
    </row>
    <row r="11" spans="2:13" x14ac:dyDescent="0.35">
      <c r="B11" s="2" t="s">
        <v>5</v>
      </c>
      <c r="C11" s="2" t="s">
        <v>6</v>
      </c>
      <c r="D11" s="22">
        <v>136</v>
      </c>
      <c r="E11" s="24">
        <f t="shared" ca="1" si="0"/>
        <v>45128</v>
      </c>
      <c r="F11" s="22"/>
      <c r="G11" s="22"/>
      <c r="H11" s="22"/>
      <c r="I11" s="47"/>
      <c r="J11" s="2"/>
      <c r="K11" s="2"/>
      <c r="L11" s="2" t="s">
        <v>98</v>
      </c>
      <c r="M11" s="34"/>
    </row>
    <row r="12" spans="2:13" x14ac:dyDescent="0.35">
      <c r="B12" s="2" t="s">
        <v>7</v>
      </c>
      <c r="C12" s="2" t="s">
        <v>8</v>
      </c>
      <c r="D12" s="22">
        <v>175</v>
      </c>
      <c r="E12" s="24">
        <f t="shared" ca="1" si="0"/>
        <v>45149</v>
      </c>
      <c r="F12" s="22"/>
      <c r="G12" s="22"/>
      <c r="H12" s="22"/>
      <c r="I12" s="47"/>
      <c r="J12" s="2"/>
      <c r="K12" s="2"/>
      <c r="L12" s="2"/>
      <c r="M12" s="2"/>
    </row>
    <row r="13" spans="2:13" x14ac:dyDescent="0.35">
      <c r="B13" s="2" t="s">
        <v>9</v>
      </c>
      <c r="C13" s="2" t="s">
        <v>10</v>
      </c>
      <c r="D13" s="22">
        <v>132</v>
      </c>
      <c r="E13" s="24">
        <f t="shared" ca="1" si="0"/>
        <v>45137</v>
      </c>
      <c r="F13" s="22" t="s">
        <v>99</v>
      </c>
      <c r="G13" s="23"/>
      <c r="H13" s="23"/>
      <c r="I13" s="47"/>
      <c r="J13" s="2"/>
      <c r="K13" s="2"/>
      <c r="L13" s="2"/>
      <c r="M13" s="2"/>
    </row>
    <row r="14" spans="2:13" x14ac:dyDescent="0.35">
      <c r="B14" s="2" t="s">
        <v>11</v>
      </c>
      <c r="C14" s="2" t="s">
        <v>12</v>
      </c>
      <c r="D14" s="22">
        <v>133</v>
      </c>
      <c r="E14" s="24">
        <f t="shared" ca="1" si="0"/>
        <v>45144</v>
      </c>
      <c r="F14" s="22" t="s">
        <v>99</v>
      </c>
      <c r="G14" s="22"/>
      <c r="H14" s="22"/>
      <c r="I14" s="47"/>
      <c r="J14" s="2"/>
      <c r="K14" s="2"/>
      <c r="L14" s="2"/>
      <c r="M14" s="2"/>
    </row>
    <row r="15" spans="2:13" x14ac:dyDescent="0.35">
      <c r="B15" s="2" t="s">
        <v>13</v>
      </c>
      <c r="C15" s="2" t="s">
        <v>14</v>
      </c>
      <c r="D15" s="22">
        <v>152</v>
      </c>
      <c r="E15" s="24">
        <f t="shared" ca="1" si="0"/>
        <v>45134</v>
      </c>
      <c r="F15" s="22"/>
      <c r="G15" s="22"/>
      <c r="H15" s="22"/>
      <c r="I15" s="47"/>
      <c r="J15" s="2"/>
      <c r="K15" s="2"/>
      <c r="L15" s="2"/>
      <c r="M15" s="2"/>
    </row>
    <row r="16" spans="2:13" x14ac:dyDescent="0.35">
      <c r="B16" s="2" t="s">
        <v>15</v>
      </c>
      <c r="C16" s="2" t="s">
        <v>16</v>
      </c>
      <c r="D16" s="22">
        <v>144</v>
      </c>
      <c r="E16" s="24">
        <f t="shared" ca="1" si="0"/>
        <v>45137</v>
      </c>
      <c r="F16" s="22"/>
      <c r="G16" s="22"/>
      <c r="H16" s="22"/>
      <c r="I16" s="47"/>
      <c r="J16" s="2"/>
      <c r="K16" s="2"/>
      <c r="L16" s="2"/>
      <c r="M16" s="2"/>
    </row>
    <row r="17" spans="2:13" x14ac:dyDescent="0.35">
      <c r="B17" s="2" t="s">
        <v>17</v>
      </c>
      <c r="C17" s="2" t="s">
        <v>18</v>
      </c>
      <c r="D17" s="22">
        <v>130</v>
      </c>
      <c r="E17" s="24">
        <f t="shared" ca="1" si="0"/>
        <v>45140</v>
      </c>
      <c r="F17" s="22"/>
      <c r="G17" s="22"/>
      <c r="H17" s="22"/>
      <c r="I17" s="47"/>
      <c r="J17" s="2"/>
      <c r="K17" s="2"/>
      <c r="L17" s="2"/>
      <c r="M17" s="2"/>
    </row>
    <row r="18" spans="2:13" x14ac:dyDescent="0.35">
      <c r="B18" s="2" t="s">
        <v>19</v>
      </c>
      <c r="C18" s="2" t="s">
        <v>20</v>
      </c>
      <c r="D18" s="22">
        <v>152</v>
      </c>
      <c r="E18" s="24">
        <f t="shared" ca="1" si="0"/>
        <v>45131</v>
      </c>
      <c r="F18" s="22"/>
      <c r="G18" s="22"/>
      <c r="H18" s="22"/>
      <c r="I18" s="47"/>
      <c r="J18" s="2"/>
      <c r="K18" s="2"/>
      <c r="L18" s="2"/>
      <c r="M18" s="2"/>
    </row>
    <row r="19" spans="2:13" x14ac:dyDescent="0.35">
      <c r="B19" s="2" t="s">
        <v>21</v>
      </c>
      <c r="C19" s="2" t="s">
        <v>22</v>
      </c>
      <c r="D19" s="22">
        <v>144</v>
      </c>
      <c r="E19" s="24">
        <f t="shared" ca="1" si="0"/>
        <v>45120</v>
      </c>
      <c r="F19" s="22"/>
      <c r="G19" s="22"/>
      <c r="H19" s="22"/>
      <c r="I19" s="47"/>
      <c r="J19" s="2"/>
      <c r="K19" s="2"/>
      <c r="L19" s="2"/>
      <c r="M19" s="2"/>
    </row>
    <row r="20" spans="2:13" x14ac:dyDescent="0.35">
      <c r="B20" s="2" t="s">
        <v>23</v>
      </c>
      <c r="C20" s="2" t="s">
        <v>24</v>
      </c>
      <c r="D20" s="22">
        <v>140</v>
      </c>
      <c r="E20" s="24">
        <f t="shared" ca="1" si="0"/>
        <v>45150</v>
      </c>
      <c r="F20" s="22"/>
      <c r="G20" s="22"/>
      <c r="H20" s="22"/>
      <c r="I20" s="47"/>
      <c r="J20" s="2"/>
      <c r="K20" s="2"/>
      <c r="L20" s="2"/>
      <c r="M20" s="2"/>
    </row>
    <row r="21" spans="2:13" x14ac:dyDescent="0.35">
      <c r="B21" s="2" t="s">
        <v>25</v>
      </c>
      <c r="C21" s="2" t="s">
        <v>26</v>
      </c>
      <c r="D21" s="22">
        <v>160</v>
      </c>
      <c r="E21" s="24">
        <f t="shared" ca="1" si="0"/>
        <v>45120</v>
      </c>
      <c r="F21" s="22"/>
      <c r="G21" s="22"/>
      <c r="H21" s="22"/>
      <c r="I21" s="47"/>
      <c r="J21" s="2"/>
      <c r="K21" s="2"/>
      <c r="L21" s="2"/>
      <c r="M21" s="2"/>
    </row>
    <row r="22" spans="2:13" x14ac:dyDescent="0.35">
      <c r="B22" s="2" t="s">
        <v>27</v>
      </c>
      <c r="C22" s="2" t="s">
        <v>28</v>
      </c>
      <c r="D22" s="22">
        <v>139</v>
      </c>
      <c r="E22" s="24">
        <f t="shared" ca="1" si="0"/>
        <v>45139</v>
      </c>
      <c r="F22" s="22"/>
      <c r="G22" s="22"/>
      <c r="H22" s="22"/>
      <c r="I22" s="47"/>
      <c r="J22" s="2"/>
      <c r="K22" s="2"/>
      <c r="L22" s="2"/>
      <c r="M22" s="2"/>
    </row>
    <row r="23" spans="2:13" x14ac:dyDescent="0.35">
      <c r="B23" s="2" t="s">
        <v>29</v>
      </c>
      <c r="C23" s="2" t="s">
        <v>30</v>
      </c>
      <c r="D23" s="22">
        <v>147</v>
      </c>
      <c r="E23" s="24">
        <f t="shared" ca="1" si="0"/>
        <v>45128</v>
      </c>
      <c r="F23" s="22" t="s">
        <v>99</v>
      </c>
      <c r="G23" s="22"/>
      <c r="H23" s="22"/>
      <c r="I23" s="47"/>
      <c r="J23" s="2"/>
      <c r="K23" s="2"/>
      <c r="L23" s="2"/>
      <c r="M23" s="2"/>
    </row>
    <row r="24" spans="2:13" x14ac:dyDescent="0.35">
      <c r="B24" s="2" t="s">
        <v>31</v>
      </c>
      <c r="C24" s="2" t="s">
        <v>32</v>
      </c>
      <c r="D24" s="22">
        <v>129</v>
      </c>
      <c r="E24" s="24">
        <f t="shared" ca="1" si="0"/>
        <v>45121</v>
      </c>
      <c r="F24" s="22"/>
      <c r="G24" s="22"/>
      <c r="H24" s="22"/>
      <c r="I24" s="47"/>
      <c r="J24" s="2"/>
      <c r="K24" s="2"/>
      <c r="L24" s="2"/>
      <c r="M24" s="2"/>
    </row>
    <row r="25" spans="2:13" x14ac:dyDescent="0.35">
      <c r="B25" s="2" t="s">
        <v>33</v>
      </c>
      <c r="C25" s="2" t="s">
        <v>8</v>
      </c>
      <c r="D25" s="22">
        <v>138</v>
      </c>
      <c r="E25" s="24">
        <f t="shared" ca="1" si="0"/>
        <v>45132</v>
      </c>
      <c r="F25" s="22"/>
      <c r="G25" s="22"/>
      <c r="H25" s="22"/>
      <c r="I25" s="47"/>
      <c r="J25" s="2"/>
      <c r="K25" s="2"/>
      <c r="L25" s="2"/>
      <c r="M25" s="2"/>
    </row>
    <row r="26" spans="2:13" x14ac:dyDescent="0.35">
      <c r="B26" s="2" t="s">
        <v>34</v>
      </c>
      <c r="C26" s="2" t="s">
        <v>35</v>
      </c>
      <c r="D26" s="22">
        <v>146</v>
      </c>
      <c r="E26" s="24">
        <f t="shared" ca="1" si="0"/>
        <v>45131</v>
      </c>
      <c r="F26" s="22"/>
      <c r="G26" s="22"/>
      <c r="H26" s="22"/>
      <c r="I26" s="47"/>
      <c r="J26" s="2"/>
      <c r="K26" s="2"/>
      <c r="L26" s="2"/>
      <c r="M26" s="2"/>
    </row>
    <row r="38" spans="12:12" x14ac:dyDescent="0.35">
      <c r="L38" s="54"/>
    </row>
  </sheetData>
  <mergeCells count="1">
    <mergeCell ref="C5:G5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B1:M38"/>
  <sheetViews>
    <sheetView workbookViewId="0">
      <selection activeCell="C6" sqref="C6"/>
    </sheetView>
  </sheetViews>
  <sheetFormatPr defaultColWidth="11.453125" defaultRowHeight="14.5" x14ac:dyDescent="0.35"/>
  <cols>
    <col min="2" max="2" width="14.1796875" customWidth="1"/>
    <col min="3" max="3" width="15.26953125" customWidth="1"/>
    <col min="4" max="4" width="15.453125" customWidth="1"/>
    <col min="5" max="5" width="21.1796875" customWidth="1"/>
    <col min="6" max="7" width="18.7265625" customWidth="1"/>
    <col min="8" max="8" width="2.453125" customWidth="1"/>
    <col min="9" max="9" width="21.81640625" customWidth="1"/>
    <col min="11" max="11" width="15" customWidth="1"/>
    <col min="12" max="12" width="21.26953125" customWidth="1"/>
  </cols>
  <sheetData>
    <row r="1" spans="2:13" ht="15.5" x14ac:dyDescent="0.35">
      <c r="I1" s="2"/>
      <c r="J1" s="2"/>
      <c r="K1" s="21"/>
      <c r="L1" s="2"/>
      <c r="M1" s="2"/>
    </row>
    <row r="2" spans="2:13" ht="18.5" x14ac:dyDescent="0.45">
      <c r="B2" s="59" t="s">
        <v>169</v>
      </c>
      <c r="C2" s="56" t="s">
        <v>181</v>
      </c>
      <c r="I2" s="2"/>
      <c r="J2" s="2"/>
      <c r="K2" s="21"/>
      <c r="L2" s="2"/>
      <c r="M2" s="2"/>
    </row>
    <row r="3" spans="2:13" ht="18.5" x14ac:dyDescent="0.45">
      <c r="B3" s="58"/>
      <c r="C3" s="56"/>
      <c r="I3" s="2"/>
      <c r="J3" s="2"/>
      <c r="K3" s="21"/>
      <c r="L3" s="2"/>
      <c r="M3" s="2"/>
    </row>
    <row r="4" spans="2:13" ht="18.5" x14ac:dyDescent="0.45">
      <c r="B4" s="58"/>
      <c r="I4" s="2"/>
      <c r="J4" s="2"/>
      <c r="K4" s="21"/>
      <c r="L4" s="2"/>
      <c r="M4" s="2"/>
    </row>
    <row r="5" spans="2:13" ht="100.5" customHeight="1" x14ac:dyDescent="0.35">
      <c r="B5" s="61" t="s">
        <v>170</v>
      </c>
      <c r="C5" s="68" t="s">
        <v>183</v>
      </c>
      <c r="D5" s="68"/>
      <c r="E5" s="68"/>
      <c r="F5" s="68"/>
      <c r="G5" s="68"/>
      <c r="I5" s="2"/>
      <c r="J5" s="2"/>
      <c r="K5" s="21"/>
      <c r="L5" s="2"/>
      <c r="M5" s="2"/>
    </row>
    <row r="6" spans="2:13" ht="14.25" customHeight="1" x14ac:dyDescent="0.35">
      <c r="B6" s="66"/>
      <c r="C6" s="65"/>
      <c r="D6" s="65"/>
      <c r="E6" s="65"/>
      <c r="F6" s="65"/>
      <c r="G6" s="65"/>
      <c r="I6" s="2"/>
      <c r="J6" s="2"/>
      <c r="K6" s="21"/>
      <c r="L6" s="2"/>
      <c r="M6" s="2"/>
    </row>
    <row r="7" spans="2:13" x14ac:dyDescent="0.3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2:13" s="37" customFormat="1" ht="15" thickBot="1" x14ac:dyDescent="0.4">
      <c r="B8" s="51" t="s">
        <v>90</v>
      </c>
      <c r="C8" s="51" t="s">
        <v>91</v>
      </c>
      <c r="D8" s="51" t="s">
        <v>92</v>
      </c>
      <c r="E8" s="51" t="s">
        <v>93</v>
      </c>
      <c r="F8" s="51" t="s">
        <v>94</v>
      </c>
      <c r="G8" s="35"/>
      <c r="H8" s="35"/>
      <c r="I8" s="52" t="s">
        <v>95</v>
      </c>
      <c r="J8" s="36"/>
      <c r="K8" s="36"/>
      <c r="L8" s="36"/>
      <c r="M8" s="36"/>
    </row>
    <row r="9" spans="2:13" ht="15" thickTop="1" x14ac:dyDescent="0.35">
      <c r="B9" s="2" t="s">
        <v>1</v>
      </c>
      <c r="C9" s="2" t="s">
        <v>2</v>
      </c>
      <c r="D9" s="22">
        <v>147</v>
      </c>
      <c r="E9" s="24">
        <f t="shared" ref="E9:E26" ca="1" si="0">RANDBETWEEN(TODAY()-15,TODAY()+15)</f>
        <v>45130</v>
      </c>
      <c r="F9" s="22"/>
      <c r="G9" s="22"/>
      <c r="H9" s="22"/>
      <c r="I9" s="47" t="str">
        <f ca="1">IF(F9="yes","DELIVERED",IF(E9&lt;TODAY(),"EXPIRED","PENDING"))</f>
        <v>EXPIRED</v>
      </c>
      <c r="J9" s="2"/>
      <c r="K9" s="2"/>
      <c r="L9" s="2" t="s">
        <v>97</v>
      </c>
      <c r="M9" s="32"/>
    </row>
    <row r="10" spans="2:13" x14ac:dyDescent="0.35">
      <c r="B10" s="2" t="s">
        <v>3</v>
      </c>
      <c r="C10" s="2" t="s">
        <v>4</v>
      </c>
      <c r="D10" s="22">
        <v>154</v>
      </c>
      <c r="E10" s="24">
        <f t="shared" ca="1" si="0"/>
        <v>45132</v>
      </c>
      <c r="F10" s="22"/>
      <c r="G10" s="22"/>
      <c r="H10" s="22"/>
      <c r="I10" s="47" t="str">
        <f t="shared" ref="I10:I26" ca="1" si="1">IF(F10="yes","DELIVERED",IF(E10&lt;TODAY(),"EXPIRED","PENDING"))</f>
        <v>EXPIRED</v>
      </c>
      <c r="J10" s="2"/>
      <c r="K10" s="2"/>
      <c r="L10" s="2" t="s">
        <v>96</v>
      </c>
      <c r="M10" s="33"/>
    </row>
    <row r="11" spans="2:13" x14ac:dyDescent="0.35">
      <c r="B11" s="2" t="s">
        <v>5</v>
      </c>
      <c r="C11" s="2" t="s">
        <v>6</v>
      </c>
      <c r="D11" s="22">
        <v>136</v>
      </c>
      <c r="E11" s="24">
        <f t="shared" ca="1" si="0"/>
        <v>45150</v>
      </c>
      <c r="F11" s="22"/>
      <c r="G11" s="22"/>
      <c r="H11" s="22"/>
      <c r="I11" s="47" t="str">
        <f t="shared" ca="1" si="1"/>
        <v>PENDING</v>
      </c>
      <c r="J11" s="2"/>
      <c r="K11" s="2"/>
      <c r="L11" s="2" t="s">
        <v>98</v>
      </c>
      <c r="M11" s="34"/>
    </row>
    <row r="12" spans="2:13" x14ac:dyDescent="0.35">
      <c r="B12" s="2" t="s">
        <v>7</v>
      </c>
      <c r="C12" s="2" t="s">
        <v>8</v>
      </c>
      <c r="D12" s="22">
        <v>175</v>
      </c>
      <c r="E12" s="24">
        <f t="shared" ca="1" si="0"/>
        <v>45136</v>
      </c>
      <c r="F12" s="22"/>
      <c r="G12" s="22"/>
      <c r="H12" s="22"/>
      <c r="I12" s="47" t="str">
        <f t="shared" ca="1" si="1"/>
        <v>PENDING</v>
      </c>
      <c r="J12" s="2"/>
      <c r="K12" s="2"/>
      <c r="L12" s="2"/>
      <c r="M12" s="2"/>
    </row>
    <row r="13" spans="2:13" x14ac:dyDescent="0.35">
      <c r="B13" s="2" t="s">
        <v>9</v>
      </c>
      <c r="C13" s="2" t="s">
        <v>10</v>
      </c>
      <c r="D13" s="22">
        <v>132</v>
      </c>
      <c r="E13" s="24">
        <f t="shared" ca="1" si="0"/>
        <v>45121</v>
      </c>
      <c r="F13" s="22" t="s">
        <v>99</v>
      </c>
      <c r="G13" s="23"/>
      <c r="H13" s="23"/>
      <c r="I13" s="47" t="str">
        <f t="shared" ca="1" si="1"/>
        <v>DELIVERED</v>
      </c>
      <c r="J13" s="2"/>
      <c r="K13" s="2"/>
      <c r="L13" s="2"/>
      <c r="M13" s="2"/>
    </row>
    <row r="14" spans="2:13" x14ac:dyDescent="0.35">
      <c r="B14" s="2" t="s">
        <v>11</v>
      </c>
      <c r="C14" s="2" t="s">
        <v>12</v>
      </c>
      <c r="D14" s="22">
        <v>133</v>
      </c>
      <c r="E14" s="24">
        <f t="shared" ca="1" si="0"/>
        <v>45142</v>
      </c>
      <c r="F14" s="22" t="s">
        <v>99</v>
      </c>
      <c r="G14" s="22"/>
      <c r="H14" s="22"/>
      <c r="I14" s="47" t="str">
        <f t="shared" ca="1" si="1"/>
        <v>DELIVERED</v>
      </c>
      <c r="J14" s="2"/>
      <c r="K14" s="2"/>
      <c r="L14" s="2"/>
      <c r="M14" s="2"/>
    </row>
    <row r="15" spans="2:13" x14ac:dyDescent="0.35">
      <c r="B15" s="2" t="s">
        <v>13</v>
      </c>
      <c r="C15" s="2" t="s">
        <v>14</v>
      </c>
      <c r="D15" s="22">
        <v>152</v>
      </c>
      <c r="E15" s="24">
        <f t="shared" ca="1" si="0"/>
        <v>45131</v>
      </c>
      <c r="F15" s="22"/>
      <c r="G15" s="22"/>
      <c r="H15" s="22"/>
      <c r="I15" s="47" t="str">
        <f t="shared" ca="1" si="1"/>
        <v>EXPIRED</v>
      </c>
      <c r="J15" s="2"/>
      <c r="K15" s="2"/>
      <c r="L15" s="2"/>
      <c r="M15" s="2"/>
    </row>
    <row r="16" spans="2:13" x14ac:dyDescent="0.35">
      <c r="B16" s="2" t="s">
        <v>15</v>
      </c>
      <c r="C16" s="2" t="s">
        <v>16</v>
      </c>
      <c r="D16" s="22">
        <v>144</v>
      </c>
      <c r="E16" s="24">
        <f t="shared" ca="1" si="0"/>
        <v>45136</v>
      </c>
      <c r="F16" s="22"/>
      <c r="G16" s="22"/>
      <c r="H16" s="22"/>
      <c r="I16" s="47" t="str">
        <f t="shared" ca="1" si="1"/>
        <v>PENDING</v>
      </c>
      <c r="J16" s="2"/>
      <c r="K16" s="2"/>
      <c r="L16" s="2"/>
      <c r="M16" s="2"/>
    </row>
    <row r="17" spans="2:13" x14ac:dyDescent="0.35">
      <c r="B17" s="2" t="s">
        <v>17</v>
      </c>
      <c r="C17" s="2" t="s">
        <v>18</v>
      </c>
      <c r="D17" s="22">
        <v>130</v>
      </c>
      <c r="E17" s="24">
        <f t="shared" ca="1" si="0"/>
        <v>45126</v>
      </c>
      <c r="F17" s="22"/>
      <c r="G17" s="22"/>
      <c r="H17" s="22"/>
      <c r="I17" s="47" t="str">
        <f t="shared" ca="1" si="1"/>
        <v>EXPIRED</v>
      </c>
      <c r="J17" s="2"/>
      <c r="K17" s="2"/>
      <c r="L17" s="2"/>
      <c r="M17" s="2"/>
    </row>
    <row r="18" spans="2:13" x14ac:dyDescent="0.35">
      <c r="B18" s="2" t="s">
        <v>19</v>
      </c>
      <c r="C18" s="2" t="s">
        <v>20</v>
      </c>
      <c r="D18" s="22">
        <v>152</v>
      </c>
      <c r="E18" s="24">
        <f t="shared" ca="1" si="0"/>
        <v>45133</v>
      </c>
      <c r="F18" s="22"/>
      <c r="G18" s="22"/>
      <c r="H18" s="22"/>
      <c r="I18" s="47" t="str">
        <f t="shared" ca="1" si="1"/>
        <v>EXPIRED</v>
      </c>
      <c r="J18" s="2"/>
      <c r="K18" s="2"/>
      <c r="L18" s="2"/>
      <c r="M18" s="2"/>
    </row>
    <row r="19" spans="2:13" x14ac:dyDescent="0.35">
      <c r="B19" s="2" t="s">
        <v>21</v>
      </c>
      <c r="C19" s="2" t="s">
        <v>22</v>
      </c>
      <c r="D19" s="22">
        <v>144</v>
      </c>
      <c r="E19" s="24">
        <f t="shared" ca="1" si="0"/>
        <v>45144</v>
      </c>
      <c r="F19" s="22"/>
      <c r="G19" s="22"/>
      <c r="H19" s="22"/>
      <c r="I19" s="47" t="str">
        <f t="shared" ca="1" si="1"/>
        <v>PENDING</v>
      </c>
      <c r="J19" s="2"/>
      <c r="K19" s="2"/>
      <c r="L19" s="2"/>
      <c r="M19" s="2"/>
    </row>
    <row r="20" spans="2:13" x14ac:dyDescent="0.35">
      <c r="B20" s="2" t="s">
        <v>23</v>
      </c>
      <c r="C20" s="2" t="s">
        <v>24</v>
      </c>
      <c r="D20" s="22">
        <v>140</v>
      </c>
      <c r="E20" s="24">
        <f t="shared" ca="1" si="0"/>
        <v>45130</v>
      </c>
      <c r="F20" s="22"/>
      <c r="G20" s="22"/>
      <c r="H20" s="22"/>
      <c r="I20" s="47" t="str">
        <f t="shared" ca="1" si="1"/>
        <v>EXPIRED</v>
      </c>
      <c r="J20" s="2"/>
      <c r="K20" s="2"/>
      <c r="L20" s="2"/>
      <c r="M20" s="2"/>
    </row>
    <row r="21" spans="2:13" x14ac:dyDescent="0.35">
      <c r="B21" s="2" t="s">
        <v>25</v>
      </c>
      <c r="C21" s="2" t="s">
        <v>26</v>
      </c>
      <c r="D21" s="22">
        <v>160</v>
      </c>
      <c r="E21" s="24">
        <f t="shared" ca="1" si="0"/>
        <v>45121</v>
      </c>
      <c r="F21" s="22"/>
      <c r="G21" s="22"/>
      <c r="H21" s="22"/>
      <c r="I21" s="47" t="str">
        <f t="shared" ca="1" si="1"/>
        <v>EXPIRED</v>
      </c>
      <c r="J21" s="2"/>
      <c r="K21" s="2"/>
      <c r="L21" s="2"/>
      <c r="M21" s="2"/>
    </row>
    <row r="22" spans="2:13" x14ac:dyDescent="0.35">
      <c r="B22" s="2" t="s">
        <v>27</v>
      </c>
      <c r="C22" s="2" t="s">
        <v>28</v>
      </c>
      <c r="D22" s="22">
        <v>139</v>
      </c>
      <c r="E22" s="24">
        <f t="shared" ca="1" si="0"/>
        <v>45121</v>
      </c>
      <c r="F22" s="22"/>
      <c r="G22" s="22"/>
      <c r="H22" s="22"/>
      <c r="I22" s="47" t="str">
        <f t="shared" ca="1" si="1"/>
        <v>EXPIRED</v>
      </c>
      <c r="J22" s="2"/>
      <c r="K22" s="2"/>
      <c r="L22" s="2"/>
      <c r="M22" s="2"/>
    </row>
    <row r="23" spans="2:13" x14ac:dyDescent="0.35">
      <c r="B23" s="2" t="s">
        <v>29</v>
      </c>
      <c r="C23" s="2" t="s">
        <v>30</v>
      </c>
      <c r="D23" s="22">
        <v>147</v>
      </c>
      <c r="E23" s="24">
        <f t="shared" ca="1" si="0"/>
        <v>45138</v>
      </c>
      <c r="F23" s="22" t="s">
        <v>99</v>
      </c>
      <c r="G23" s="22"/>
      <c r="H23" s="22"/>
      <c r="I23" s="47" t="str">
        <f t="shared" ca="1" si="1"/>
        <v>DELIVERED</v>
      </c>
      <c r="J23" s="2"/>
      <c r="K23" s="2"/>
      <c r="L23" s="2"/>
      <c r="M23" s="2"/>
    </row>
    <row r="24" spans="2:13" x14ac:dyDescent="0.35">
      <c r="B24" s="2" t="s">
        <v>31</v>
      </c>
      <c r="C24" s="2" t="s">
        <v>32</v>
      </c>
      <c r="D24" s="22">
        <v>129</v>
      </c>
      <c r="E24" s="24">
        <f t="shared" ca="1" si="0"/>
        <v>45129</v>
      </c>
      <c r="F24" s="22"/>
      <c r="G24" s="22"/>
      <c r="H24" s="22"/>
      <c r="I24" s="47" t="str">
        <f t="shared" ca="1" si="1"/>
        <v>EXPIRED</v>
      </c>
      <c r="J24" s="2"/>
      <c r="K24" s="2"/>
      <c r="L24" s="2"/>
      <c r="M24" s="2"/>
    </row>
    <row r="25" spans="2:13" x14ac:dyDescent="0.35">
      <c r="B25" s="2" t="s">
        <v>33</v>
      </c>
      <c r="C25" s="2" t="s">
        <v>8</v>
      </c>
      <c r="D25" s="22">
        <v>138</v>
      </c>
      <c r="E25" s="24">
        <f t="shared" ca="1" si="0"/>
        <v>45131</v>
      </c>
      <c r="F25" s="22"/>
      <c r="G25" s="22"/>
      <c r="H25" s="22"/>
      <c r="I25" s="47" t="str">
        <f t="shared" ca="1" si="1"/>
        <v>EXPIRED</v>
      </c>
      <c r="J25" s="2"/>
      <c r="K25" s="2"/>
      <c r="L25" s="2"/>
      <c r="M25" s="2"/>
    </row>
    <row r="26" spans="2:13" x14ac:dyDescent="0.35">
      <c r="B26" s="2" t="s">
        <v>34</v>
      </c>
      <c r="C26" s="2" t="s">
        <v>35</v>
      </c>
      <c r="D26" s="22">
        <v>146</v>
      </c>
      <c r="E26" s="24">
        <f t="shared" ca="1" si="0"/>
        <v>45142</v>
      </c>
      <c r="F26" s="22"/>
      <c r="G26" s="22"/>
      <c r="H26" s="22"/>
      <c r="I26" s="47" t="str">
        <f t="shared" ca="1" si="1"/>
        <v>PENDING</v>
      </c>
      <c r="J26" s="2"/>
      <c r="K26" s="2"/>
      <c r="L26" s="2"/>
      <c r="M26" s="2"/>
    </row>
    <row r="38" spans="12:12" x14ac:dyDescent="0.35">
      <c r="L38" s="54"/>
    </row>
  </sheetData>
  <mergeCells count="1">
    <mergeCell ref="C5:G5"/>
  </mergeCells>
  <conditionalFormatting sqref="I9:I26">
    <cfRule type="expression" dxfId="22" priority="1">
      <formula>I9="EXPIRED"</formula>
    </cfRule>
    <cfRule type="expression" dxfId="21" priority="2">
      <formula>I9="PENDING"</formula>
    </cfRule>
    <cfRule type="expression" dxfId="20" priority="3">
      <formula>I9="DELIVERED"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B1:M38"/>
  <sheetViews>
    <sheetView workbookViewId="0">
      <selection activeCell="B2" sqref="B2:G5"/>
    </sheetView>
  </sheetViews>
  <sheetFormatPr defaultColWidth="11.453125" defaultRowHeight="14.5" x14ac:dyDescent="0.35"/>
  <cols>
    <col min="2" max="2" width="14.1796875" customWidth="1"/>
    <col min="3" max="3" width="15.26953125" customWidth="1"/>
    <col min="4" max="4" width="15.453125" customWidth="1"/>
    <col min="5" max="5" width="21.1796875" customWidth="1"/>
    <col min="6" max="7" width="18.7265625" customWidth="1"/>
    <col min="8" max="8" width="2.453125" customWidth="1"/>
    <col min="9" max="9" width="21.81640625" customWidth="1"/>
    <col min="11" max="11" width="15" customWidth="1"/>
    <col min="12" max="12" width="21.26953125" customWidth="1"/>
  </cols>
  <sheetData>
    <row r="1" spans="2:13" ht="15.5" x14ac:dyDescent="0.35">
      <c r="I1" s="2"/>
      <c r="J1" s="2"/>
      <c r="K1" s="21"/>
      <c r="L1" s="2"/>
      <c r="M1" s="2"/>
    </row>
    <row r="2" spans="2:13" ht="18.5" x14ac:dyDescent="0.45">
      <c r="B2" s="59" t="s">
        <v>169</v>
      </c>
      <c r="C2" s="56" t="s">
        <v>181</v>
      </c>
      <c r="I2" s="2"/>
      <c r="J2" s="2"/>
      <c r="K2" s="21"/>
      <c r="L2" s="2"/>
      <c r="M2" s="2"/>
    </row>
    <row r="3" spans="2:13" ht="18.5" x14ac:dyDescent="0.45">
      <c r="B3" s="58"/>
      <c r="C3" s="56"/>
      <c r="I3" s="2"/>
      <c r="J3" s="2"/>
      <c r="K3" s="21"/>
      <c r="L3" s="2"/>
      <c r="M3" s="2"/>
    </row>
    <row r="4" spans="2:13" ht="18.5" x14ac:dyDescent="0.45">
      <c r="B4" s="58"/>
      <c r="I4" s="2"/>
      <c r="J4" s="2"/>
      <c r="K4" s="21"/>
      <c r="L4" s="2"/>
      <c r="M4" s="2"/>
    </row>
    <row r="5" spans="2:13" ht="47.25" customHeight="1" x14ac:dyDescent="0.35">
      <c r="B5" s="61" t="s">
        <v>170</v>
      </c>
      <c r="C5" s="68" t="s">
        <v>182</v>
      </c>
      <c r="D5" s="68"/>
      <c r="E5" s="68"/>
      <c r="F5" s="68"/>
      <c r="G5" s="68"/>
      <c r="I5" s="2"/>
      <c r="J5" s="2"/>
      <c r="K5" s="21"/>
      <c r="L5" s="2"/>
      <c r="M5" s="2"/>
    </row>
    <row r="6" spans="2:13" ht="15.5" x14ac:dyDescent="0.35">
      <c r="I6" s="2"/>
      <c r="J6" s="2"/>
      <c r="K6" s="21"/>
      <c r="L6" s="2"/>
      <c r="M6" s="2"/>
    </row>
    <row r="7" spans="2:13" x14ac:dyDescent="0.3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2:13" s="37" customFormat="1" ht="15" thickBot="1" x14ac:dyDescent="0.4">
      <c r="B8" s="51" t="s">
        <v>90</v>
      </c>
      <c r="C8" s="51" t="s">
        <v>91</v>
      </c>
      <c r="D8" s="51" t="s">
        <v>92</v>
      </c>
      <c r="E8" s="51" t="s">
        <v>93</v>
      </c>
      <c r="F8" s="51" t="s">
        <v>94</v>
      </c>
      <c r="G8" s="35"/>
      <c r="H8" s="35"/>
      <c r="I8" s="52" t="s">
        <v>95</v>
      </c>
      <c r="J8" s="36"/>
      <c r="K8" s="36"/>
      <c r="L8" s="36"/>
      <c r="M8" s="36"/>
    </row>
    <row r="9" spans="2:13" ht="15" thickTop="1" x14ac:dyDescent="0.35">
      <c r="B9" s="2" t="s">
        <v>1</v>
      </c>
      <c r="C9" s="2" t="s">
        <v>2</v>
      </c>
      <c r="D9" s="22">
        <v>147</v>
      </c>
      <c r="E9" s="24">
        <f t="shared" ref="E9:E26" ca="1" si="0">RANDBETWEEN(TODAY()-15,TODAY()+15)</f>
        <v>45123</v>
      </c>
      <c r="F9" s="22"/>
      <c r="G9" s="22"/>
      <c r="H9" s="22"/>
      <c r="I9" s="47" t="str">
        <f ca="1">IF(F9="yes","DELIVERED",IF(E9&lt;TODAY(),"EXPIRED","PENDING"))</f>
        <v>EXPIRED</v>
      </c>
      <c r="J9" s="2"/>
      <c r="K9" s="2"/>
      <c r="L9" s="2" t="s">
        <v>97</v>
      </c>
      <c r="M9" s="32"/>
    </row>
    <row r="10" spans="2:13" x14ac:dyDescent="0.35">
      <c r="B10" s="2" t="s">
        <v>3</v>
      </c>
      <c r="C10" s="2" t="s">
        <v>4</v>
      </c>
      <c r="D10" s="22">
        <v>154</v>
      </c>
      <c r="E10" s="24">
        <f t="shared" ca="1" si="0"/>
        <v>45149</v>
      </c>
      <c r="F10" s="22"/>
      <c r="G10" s="22"/>
      <c r="H10" s="22"/>
      <c r="I10" s="47" t="str">
        <f t="shared" ref="I10:I26" ca="1" si="1">IF(F10="yes","DELIVERED",IF(E10&lt;TODAY(),"EXPIRED","PENDING"))</f>
        <v>PENDING</v>
      </c>
      <c r="J10" s="2"/>
      <c r="K10" s="2"/>
      <c r="L10" s="2" t="s">
        <v>96</v>
      </c>
      <c r="M10" s="33"/>
    </row>
    <row r="11" spans="2:13" x14ac:dyDescent="0.35">
      <c r="B11" s="2" t="s">
        <v>5</v>
      </c>
      <c r="C11" s="2" t="s">
        <v>6</v>
      </c>
      <c r="D11" s="22">
        <v>136</v>
      </c>
      <c r="E11" s="24">
        <f t="shared" ca="1" si="0"/>
        <v>45138</v>
      </c>
      <c r="F11" s="22"/>
      <c r="G11" s="22"/>
      <c r="H11" s="22"/>
      <c r="I11" s="47" t="str">
        <f t="shared" ca="1" si="1"/>
        <v>PENDING</v>
      </c>
      <c r="J11" s="2"/>
      <c r="K11" s="2"/>
      <c r="L11" s="2" t="s">
        <v>98</v>
      </c>
      <c r="M11" s="34"/>
    </row>
    <row r="12" spans="2:13" x14ac:dyDescent="0.35">
      <c r="B12" s="2" t="s">
        <v>7</v>
      </c>
      <c r="C12" s="2" t="s">
        <v>8</v>
      </c>
      <c r="D12" s="22">
        <v>175</v>
      </c>
      <c r="E12" s="24">
        <f t="shared" ca="1" si="0"/>
        <v>45149</v>
      </c>
      <c r="F12" s="22"/>
      <c r="G12" s="22"/>
      <c r="H12" s="22"/>
      <c r="I12" s="47" t="str">
        <f t="shared" ca="1" si="1"/>
        <v>PENDING</v>
      </c>
      <c r="J12" s="2"/>
      <c r="K12" s="2"/>
      <c r="L12" s="2"/>
      <c r="M12" s="2"/>
    </row>
    <row r="13" spans="2:13" x14ac:dyDescent="0.35">
      <c r="B13" s="2" t="s">
        <v>9</v>
      </c>
      <c r="C13" s="2" t="s">
        <v>10</v>
      </c>
      <c r="D13" s="22">
        <v>132</v>
      </c>
      <c r="E13" s="24">
        <f t="shared" ca="1" si="0"/>
        <v>45133</v>
      </c>
      <c r="F13" s="22" t="s">
        <v>99</v>
      </c>
      <c r="G13" s="23"/>
      <c r="H13" s="23"/>
      <c r="I13" s="47" t="str">
        <f t="shared" ca="1" si="1"/>
        <v>DELIVERED</v>
      </c>
      <c r="J13" s="2"/>
      <c r="K13" s="2"/>
      <c r="L13" s="2"/>
      <c r="M13" s="2"/>
    </row>
    <row r="14" spans="2:13" x14ac:dyDescent="0.35">
      <c r="B14" s="2" t="s">
        <v>11</v>
      </c>
      <c r="C14" s="2" t="s">
        <v>12</v>
      </c>
      <c r="D14" s="22">
        <v>133</v>
      </c>
      <c r="E14" s="24">
        <f t="shared" ca="1" si="0"/>
        <v>45137</v>
      </c>
      <c r="F14" s="22" t="s">
        <v>99</v>
      </c>
      <c r="G14" s="22"/>
      <c r="H14" s="22"/>
      <c r="I14" s="47" t="str">
        <f t="shared" ca="1" si="1"/>
        <v>DELIVERED</v>
      </c>
      <c r="J14" s="2"/>
      <c r="K14" s="2"/>
      <c r="L14" s="2"/>
      <c r="M14" s="2"/>
    </row>
    <row r="15" spans="2:13" x14ac:dyDescent="0.35">
      <c r="B15" s="2" t="s">
        <v>13</v>
      </c>
      <c r="C15" s="2" t="s">
        <v>14</v>
      </c>
      <c r="D15" s="22">
        <v>152</v>
      </c>
      <c r="E15" s="24">
        <f t="shared" ca="1" si="0"/>
        <v>45143</v>
      </c>
      <c r="F15" s="22"/>
      <c r="G15" s="22"/>
      <c r="H15" s="22"/>
      <c r="I15" s="47" t="str">
        <f t="shared" ca="1" si="1"/>
        <v>PENDING</v>
      </c>
      <c r="J15" s="2"/>
      <c r="K15" s="2"/>
      <c r="L15" s="2"/>
      <c r="M15" s="2"/>
    </row>
    <row r="16" spans="2:13" x14ac:dyDescent="0.35">
      <c r="B16" s="2" t="s">
        <v>15</v>
      </c>
      <c r="C16" s="2" t="s">
        <v>16</v>
      </c>
      <c r="D16" s="22">
        <v>144</v>
      </c>
      <c r="E16" s="24">
        <f t="shared" ca="1" si="0"/>
        <v>45130</v>
      </c>
      <c r="F16" s="22"/>
      <c r="G16" s="22"/>
      <c r="H16" s="22"/>
      <c r="I16" s="47" t="str">
        <f t="shared" ca="1" si="1"/>
        <v>EXPIRED</v>
      </c>
      <c r="J16" s="2"/>
      <c r="K16" s="2"/>
      <c r="L16" s="2"/>
      <c r="M16" s="2"/>
    </row>
    <row r="17" spans="2:13" x14ac:dyDescent="0.35">
      <c r="B17" s="2" t="s">
        <v>17</v>
      </c>
      <c r="C17" s="2" t="s">
        <v>18</v>
      </c>
      <c r="D17" s="22">
        <v>130</v>
      </c>
      <c r="E17" s="24">
        <f t="shared" ca="1" si="0"/>
        <v>45149</v>
      </c>
      <c r="F17" s="22"/>
      <c r="G17" s="22"/>
      <c r="H17" s="22"/>
      <c r="I17" s="47" t="str">
        <f t="shared" ca="1" si="1"/>
        <v>PENDING</v>
      </c>
      <c r="J17" s="2"/>
      <c r="K17" s="2"/>
      <c r="L17" s="2"/>
      <c r="M17" s="2"/>
    </row>
    <row r="18" spans="2:13" x14ac:dyDescent="0.35">
      <c r="B18" s="2" t="s">
        <v>19</v>
      </c>
      <c r="C18" s="2" t="s">
        <v>20</v>
      </c>
      <c r="D18" s="22">
        <v>152</v>
      </c>
      <c r="E18" s="24">
        <f t="shared" ca="1" si="0"/>
        <v>45128</v>
      </c>
      <c r="F18" s="22"/>
      <c r="G18" s="22"/>
      <c r="H18" s="22"/>
      <c r="I18" s="47" t="str">
        <f t="shared" ca="1" si="1"/>
        <v>EXPIRED</v>
      </c>
      <c r="J18" s="2"/>
      <c r="K18" s="2"/>
      <c r="L18" s="2"/>
      <c r="M18" s="2"/>
    </row>
    <row r="19" spans="2:13" x14ac:dyDescent="0.35">
      <c r="B19" s="2" t="s">
        <v>21</v>
      </c>
      <c r="C19" s="2" t="s">
        <v>22</v>
      </c>
      <c r="D19" s="22">
        <v>144</v>
      </c>
      <c r="E19" s="24">
        <f t="shared" ca="1" si="0"/>
        <v>45143</v>
      </c>
      <c r="F19" s="22"/>
      <c r="G19" s="22"/>
      <c r="H19" s="22"/>
      <c r="I19" s="47" t="str">
        <f t="shared" ca="1" si="1"/>
        <v>PENDING</v>
      </c>
      <c r="J19" s="2"/>
      <c r="K19" s="2"/>
      <c r="L19" s="2"/>
      <c r="M19" s="2"/>
    </row>
    <row r="20" spans="2:13" x14ac:dyDescent="0.35">
      <c r="B20" s="2" t="s">
        <v>23</v>
      </c>
      <c r="C20" s="2" t="s">
        <v>24</v>
      </c>
      <c r="D20" s="22">
        <v>140</v>
      </c>
      <c r="E20" s="24">
        <f t="shared" ca="1" si="0"/>
        <v>45140</v>
      </c>
      <c r="F20" s="22"/>
      <c r="G20" s="22"/>
      <c r="H20" s="22"/>
      <c r="I20" s="47" t="str">
        <f t="shared" ca="1" si="1"/>
        <v>PENDING</v>
      </c>
      <c r="J20" s="2"/>
      <c r="K20" s="2"/>
      <c r="L20" s="2"/>
      <c r="M20" s="2"/>
    </row>
    <row r="21" spans="2:13" x14ac:dyDescent="0.35">
      <c r="B21" s="2" t="s">
        <v>25</v>
      </c>
      <c r="C21" s="2" t="s">
        <v>26</v>
      </c>
      <c r="D21" s="22">
        <v>160</v>
      </c>
      <c r="E21" s="24">
        <f t="shared" ca="1" si="0"/>
        <v>45133</v>
      </c>
      <c r="F21" s="22"/>
      <c r="G21" s="22"/>
      <c r="H21" s="22"/>
      <c r="I21" s="47" t="str">
        <f t="shared" ca="1" si="1"/>
        <v>EXPIRED</v>
      </c>
      <c r="J21" s="2"/>
      <c r="K21" s="2"/>
      <c r="L21" s="2"/>
      <c r="M21" s="2"/>
    </row>
    <row r="22" spans="2:13" x14ac:dyDescent="0.35">
      <c r="B22" s="2" t="s">
        <v>27</v>
      </c>
      <c r="C22" s="2" t="s">
        <v>28</v>
      </c>
      <c r="D22" s="22">
        <v>139</v>
      </c>
      <c r="E22" s="24">
        <f t="shared" ca="1" si="0"/>
        <v>45123</v>
      </c>
      <c r="F22" s="22"/>
      <c r="G22" s="22"/>
      <c r="H22" s="22"/>
      <c r="I22" s="47" t="str">
        <f t="shared" ca="1" si="1"/>
        <v>EXPIRED</v>
      </c>
      <c r="J22" s="2"/>
      <c r="K22" s="2"/>
      <c r="L22" s="2"/>
      <c r="M22" s="2"/>
    </row>
    <row r="23" spans="2:13" x14ac:dyDescent="0.35">
      <c r="B23" s="2" t="s">
        <v>29</v>
      </c>
      <c r="C23" s="2" t="s">
        <v>30</v>
      </c>
      <c r="D23" s="22">
        <v>147</v>
      </c>
      <c r="E23" s="24">
        <f t="shared" ca="1" si="0"/>
        <v>45135</v>
      </c>
      <c r="F23" s="22" t="s">
        <v>99</v>
      </c>
      <c r="G23" s="22"/>
      <c r="H23" s="22"/>
      <c r="I23" s="47" t="str">
        <f t="shared" ca="1" si="1"/>
        <v>DELIVERED</v>
      </c>
      <c r="J23" s="2"/>
      <c r="K23" s="2"/>
      <c r="L23" s="2"/>
      <c r="M23" s="2"/>
    </row>
    <row r="24" spans="2:13" x14ac:dyDescent="0.35">
      <c r="B24" s="2" t="s">
        <v>31</v>
      </c>
      <c r="C24" s="2" t="s">
        <v>32</v>
      </c>
      <c r="D24" s="22">
        <v>129</v>
      </c>
      <c r="E24" s="24">
        <f t="shared" ca="1" si="0"/>
        <v>45130</v>
      </c>
      <c r="F24" s="22"/>
      <c r="G24" s="22"/>
      <c r="H24" s="22"/>
      <c r="I24" s="47" t="str">
        <f t="shared" ca="1" si="1"/>
        <v>EXPIRED</v>
      </c>
      <c r="J24" s="2"/>
      <c r="K24" s="2"/>
      <c r="L24" s="2"/>
      <c r="M24" s="2"/>
    </row>
    <row r="25" spans="2:13" x14ac:dyDescent="0.35">
      <c r="B25" s="2" t="s">
        <v>33</v>
      </c>
      <c r="C25" s="2" t="s">
        <v>8</v>
      </c>
      <c r="D25" s="22">
        <v>138</v>
      </c>
      <c r="E25" s="24">
        <f t="shared" ca="1" si="0"/>
        <v>45149</v>
      </c>
      <c r="F25" s="22"/>
      <c r="G25" s="22"/>
      <c r="H25" s="22"/>
      <c r="I25" s="47" t="str">
        <f t="shared" ca="1" si="1"/>
        <v>PENDING</v>
      </c>
      <c r="J25" s="2"/>
      <c r="K25" s="2"/>
      <c r="L25" s="2"/>
      <c r="M25" s="2"/>
    </row>
    <row r="26" spans="2:13" x14ac:dyDescent="0.35">
      <c r="B26" s="2" t="s">
        <v>34</v>
      </c>
      <c r="C26" s="2" t="s">
        <v>35</v>
      </c>
      <c r="D26" s="22">
        <v>146</v>
      </c>
      <c r="E26" s="24">
        <f t="shared" ca="1" si="0"/>
        <v>45122</v>
      </c>
      <c r="F26" s="22"/>
      <c r="G26" s="22"/>
      <c r="H26" s="22"/>
      <c r="I26" s="47" t="str">
        <f t="shared" ca="1" si="1"/>
        <v>EXPIRED</v>
      </c>
      <c r="J26" s="2"/>
      <c r="K26" s="2"/>
      <c r="L26" s="2"/>
      <c r="M26" s="2"/>
    </row>
    <row r="38" spans="12:12" x14ac:dyDescent="0.35">
      <c r="L38" s="54"/>
    </row>
  </sheetData>
  <mergeCells count="1">
    <mergeCell ref="C5:G5"/>
  </mergeCells>
  <conditionalFormatting sqref="I9:I26">
    <cfRule type="expression" dxfId="19" priority="1">
      <formula>I9="EXPIRED"</formula>
    </cfRule>
    <cfRule type="expression" dxfId="18" priority="2">
      <formula>I9="PENDING"</formula>
    </cfRule>
    <cfRule type="expression" dxfId="17" priority="3">
      <formula>I9="DELIVERED"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0C0"/>
  </sheetPr>
  <dimension ref="B1:M38"/>
  <sheetViews>
    <sheetView tabSelected="1" workbookViewId="0">
      <selection activeCell="B2" sqref="B2:G5"/>
    </sheetView>
  </sheetViews>
  <sheetFormatPr defaultColWidth="11.453125" defaultRowHeight="14.5" x14ac:dyDescent="0.35"/>
  <cols>
    <col min="2" max="2" width="14.1796875" customWidth="1"/>
    <col min="3" max="3" width="15.26953125" customWidth="1"/>
    <col min="4" max="4" width="15.453125" customWidth="1"/>
    <col min="5" max="5" width="21.1796875" customWidth="1"/>
    <col min="6" max="7" width="18.7265625" customWidth="1"/>
    <col min="8" max="8" width="2.453125" customWidth="1"/>
    <col min="9" max="9" width="21.81640625" customWidth="1"/>
    <col min="11" max="11" width="15" customWidth="1"/>
    <col min="12" max="12" width="21.26953125" customWidth="1"/>
  </cols>
  <sheetData>
    <row r="1" spans="2:13" ht="15.5" x14ac:dyDescent="0.35">
      <c r="I1" s="2"/>
      <c r="J1" s="2"/>
      <c r="K1" s="21"/>
      <c r="L1" s="2"/>
      <c r="M1" s="2"/>
    </row>
    <row r="2" spans="2:13" ht="18.5" x14ac:dyDescent="0.45">
      <c r="B2" s="59" t="s">
        <v>169</v>
      </c>
      <c r="C2" s="56" t="s">
        <v>181</v>
      </c>
      <c r="I2" s="2"/>
      <c r="J2" s="2"/>
      <c r="K2" s="21"/>
      <c r="L2" s="2"/>
      <c r="M2" s="2"/>
    </row>
    <row r="3" spans="2:13" ht="18.5" x14ac:dyDescent="0.45">
      <c r="B3" s="58"/>
      <c r="C3" s="56"/>
      <c r="I3" s="2"/>
      <c r="J3" s="2"/>
      <c r="K3" s="21"/>
      <c r="L3" s="2"/>
      <c r="M3" s="2"/>
    </row>
    <row r="4" spans="2:13" ht="18.5" x14ac:dyDescent="0.45">
      <c r="B4" s="58"/>
      <c r="I4" s="2"/>
      <c r="J4" s="2"/>
      <c r="K4" s="21"/>
      <c r="L4" s="2"/>
      <c r="M4" s="2"/>
    </row>
    <row r="5" spans="2:13" ht="46.5" customHeight="1" x14ac:dyDescent="0.35">
      <c r="B5" s="61" t="s">
        <v>170</v>
      </c>
      <c r="C5" s="68" t="s">
        <v>182</v>
      </c>
      <c r="D5" s="68"/>
      <c r="E5" s="68"/>
      <c r="F5" s="68"/>
      <c r="G5" s="68"/>
      <c r="I5" s="2"/>
      <c r="J5" s="2"/>
      <c r="K5" s="21"/>
      <c r="L5" s="2"/>
      <c r="M5" s="2"/>
    </row>
    <row r="6" spans="2:13" ht="15.5" x14ac:dyDescent="0.35">
      <c r="I6" s="2"/>
      <c r="J6" s="2"/>
      <c r="K6" s="21"/>
      <c r="L6" s="2"/>
      <c r="M6" s="2"/>
    </row>
    <row r="7" spans="2:13" x14ac:dyDescent="0.3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2:13" s="37" customFormat="1" ht="15" thickBot="1" x14ac:dyDescent="0.4">
      <c r="B8" s="51" t="s">
        <v>90</v>
      </c>
      <c r="C8" s="51" t="s">
        <v>91</v>
      </c>
      <c r="D8" s="51" t="s">
        <v>92</v>
      </c>
      <c r="E8" s="51" t="s">
        <v>93</v>
      </c>
      <c r="F8" s="51" t="s">
        <v>94</v>
      </c>
      <c r="G8" s="35"/>
      <c r="H8" s="35"/>
      <c r="I8" s="52" t="s">
        <v>95</v>
      </c>
      <c r="J8" s="36"/>
      <c r="K8" s="36"/>
      <c r="L8" s="36"/>
      <c r="M8" s="36"/>
    </row>
    <row r="9" spans="2:13" ht="15" thickTop="1" x14ac:dyDescent="0.35">
      <c r="B9" s="2" t="s">
        <v>1</v>
      </c>
      <c r="C9" s="2" t="s">
        <v>2</v>
      </c>
      <c r="D9" s="22">
        <v>147</v>
      </c>
      <c r="E9" s="24">
        <f t="shared" ref="E9:E26" ca="1" si="0">RANDBETWEEN(TODAY()-15,TODAY()+15)</f>
        <v>45136</v>
      </c>
      <c r="F9" s="22"/>
      <c r="G9" s="22"/>
      <c r="H9" s="22"/>
      <c r="I9" s="47" t="str">
        <f ca="1">IF(F9="yes","DELIVERED",IF(E9&lt;TODAY(),"EXPIRED","PENDING"))</f>
        <v>PENDING</v>
      </c>
      <c r="J9" s="2"/>
      <c r="K9" s="2"/>
      <c r="L9" s="2" t="s">
        <v>97</v>
      </c>
      <c r="M9" s="32"/>
    </row>
    <row r="10" spans="2:13" x14ac:dyDescent="0.35">
      <c r="B10" s="2" t="s">
        <v>3</v>
      </c>
      <c r="C10" s="2" t="s">
        <v>4</v>
      </c>
      <c r="D10" s="22">
        <v>154</v>
      </c>
      <c r="E10" s="24">
        <f t="shared" ca="1" si="0"/>
        <v>45122</v>
      </c>
      <c r="F10" s="22"/>
      <c r="G10" s="22"/>
      <c r="H10" s="22"/>
      <c r="I10" s="47" t="str">
        <f t="shared" ref="I10:I26" ca="1" si="1">IF(F10="yes","DELIVERED",IF(E10&lt;TODAY(),"EXPIRED","PENDING"))</f>
        <v>EXPIRED</v>
      </c>
      <c r="J10" s="2"/>
      <c r="K10" s="2"/>
      <c r="L10" s="2" t="s">
        <v>96</v>
      </c>
      <c r="M10" s="33"/>
    </row>
    <row r="11" spans="2:13" x14ac:dyDescent="0.35">
      <c r="B11" s="2" t="s">
        <v>5</v>
      </c>
      <c r="C11" s="2" t="s">
        <v>6</v>
      </c>
      <c r="D11" s="22">
        <v>136</v>
      </c>
      <c r="E11" s="24">
        <f t="shared" ca="1" si="0"/>
        <v>45150</v>
      </c>
      <c r="F11" s="22"/>
      <c r="G11" s="22"/>
      <c r="H11" s="22"/>
      <c r="I11" s="47" t="str">
        <f t="shared" ca="1" si="1"/>
        <v>PENDING</v>
      </c>
      <c r="J11" s="2"/>
      <c r="K11" s="2"/>
      <c r="L11" s="2" t="s">
        <v>98</v>
      </c>
      <c r="M11" s="34"/>
    </row>
    <row r="12" spans="2:13" x14ac:dyDescent="0.35">
      <c r="B12" s="2" t="s">
        <v>7</v>
      </c>
      <c r="C12" s="2" t="s">
        <v>8</v>
      </c>
      <c r="D12" s="22">
        <v>175</v>
      </c>
      <c r="E12" s="24">
        <f t="shared" ca="1" si="0"/>
        <v>45149</v>
      </c>
      <c r="F12" s="22"/>
      <c r="G12" s="22"/>
      <c r="H12" s="22"/>
      <c r="I12" s="47" t="str">
        <f t="shared" ca="1" si="1"/>
        <v>PENDING</v>
      </c>
      <c r="J12" s="2"/>
      <c r="K12" s="2"/>
      <c r="L12" s="2"/>
      <c r="M12" s="2"/>
    </row>
    <row r="13" spans="2:13" x14ac:dyDescent="0.35">
      <c r="B13" s="2" t="s">
        <v>9</v>
      </c>
      <c r="C13" s="2" t="s">
        <v>10</v>
      </c>
      <c r="D13" s="22">
        <v>132</v>
      </c>
      <c r="E13" s="24">
        <f t="shared" ca="1" si="0"/>
        <v>45150</v>
      </c>
      <c r="F13" s="22" t="s">
        <v>99</v>
      </c>
      <c r="G13" s="23"/>
      <c r="H13" s="23"/>
      <c r="I13" s="47" t="str">
        <f t="shared" ca="1" si="1"/>
        <v>DELIVERED</v>
      </c>
      <c r="J13" s="2"/>
      <c r="K13" s="2"/>
      <c r="L13" s="2"/>
      <c r="M13" s="2"/>
    </row>
    <row r="14" spans="2:13" x14ac:dyDescent="0.35">
      <c r="B14" s="2" t="s">
        <v>11</v>
      </c>
      <c r="C14" s="2" t="s">
        <v>12</v>
      </c>
      <c r="D14" s="22">
        <v>133</v>
      </c>
      <c r="E14" s="24">
        <f t="shared" ca="1" si="0"/>
        <v>45124</v>
      </c>
      <c r="F14" s="22" t="s">
        <v>99</v>
      </c>
      <c r="G14" s="22"/>
      <c r="H14" s="22"/>
      <c r="I14" s="47" t="str">
        <f t="shared" ca="1" si="1"/>
        <v>DELIVERED</v>
      </c>
      <c r="J14" s="2"/>
      <c r="K14" s="2"/>
      <c r="L14" s="2"/>
      <c r="M14" s="2"/>
    </row>
    <row r="15" spans="2:13" x14ac:dyDescent="0.35">
      <c r="B15" s="2" t="s">
        <v>13</v>
      </c>
      <c r="C15" s="2" t="s">
        <v>14</v>
      </c>
      <c r="D15" s="22">
        <v>152</v>
      </c>
      <c r="E15" s="24">
        <f t="shared" ca="1" si="0"/>
        <v>45122</v>
      </c>
      <c r="F15" s="22"/>
      <c r="G15" s="22"/>
      <c r="H15" s="22"/>
      <c r="I15" s="47" t="str">
        <f t="shared" ca="1" si="1"/>
        <v>EXPIRED</v>
      </c>
      <c r="J15" s="2"/>
      <c r="K15" s="2"/>
      <c r="L15" s="2"/>
      <c r="M15" s="2"/>
    </row>
    <row r="16" spans="2:13" x14ac:dyDescent="0.35">
      <c r="B16" s="2" t="s">
        <v>15</v>
      </c>
      <c r="C16" s="2" t="s">
        <v>16</v>
      </c>
      <c r="D16" s="22">
        <v>144</v>
      </c>
      <c r="E16" s="24">
        <f t="shared" ca="1" si="0"/>
        <v>45135</v>
      </c>
      <c r="F16" s="22"/>
      <c r="G16" s="22"/>
      <c r="H16" s="22"/>
      <c r="I16" s="47" t="str">
        <f t="shared" ca="1" si="1"/>
        <v>PENDING</v>
      </c>
      <c r="J16" s="2"/>
      <c r="K16" s="2"/>
      <c r="L16" s="2"/>
      <c r="M16" s="2"/>
    </row>
    <row r="17" spans="2:13" x14ac:dyDescent="0.35">
      <c r="B17" s="2" t="s">
        <v>17</v>
      </c>
      <c r="C17" s="2" t="s">
        <v>18</v>
      </c>
      <c r="D17" s="22">
        <v>130</v>
      </c>
      <c r="E17" s="24">
        <f t="shared" ca="1" si="0"/>
        <v>45129</v>
      </c>
      <c r="F17" s="22"/>
      <c r="G17" s="22"/>
      <c r="H17" s="22"/>
      <c r="I17" s="47" t="str">
        <f t="shared" ca="1" si="1"/>
        <v>EXPIRED</v>
      </c>
      <c r="J17" s="2"/>
      <c r="K17" s="2"/>
      <c r="L17" s="2"/>
      <c r="M17" s="2"/>
    </row>
    <row r="18" spans="2:13" x14ac:dyDescent="0.35">
      <c r="B18" s="2" t="s">
        <v>19</v>
      </c>
      <c r="C18" s="2" t="s">
        <v>20</v>
      </c>
      <c r="D18" s="22">
        <v>152</v>
      </c>
      <c r="E18" s="24">
        <f t="shared" ca="1" si="0"/>
        <v>45142</v>
      </c>
      <c r="F18" s="22"/>
      <c r="G18" s="22"/>
      <c r="H18" s="22"/>
      <c r="I18" s="47" t="str">
        <f t="shared" ca="1" si="1"/>
        <v>PENDING</v>
      </c>
      <c r="J18" s="2"/>
      <c r="K18" s="2"/>
      <c r="L18" s="2"/>
      <c r="M18" s="2"/>
    </row>
    <row r="19" spans="2:13" x14ac:dyDescent="0.35">
      <c r="B19" s="2" t="s">
        <v>21</v>
      </c>
      <c r="C19" s="2" t="s">
        <v>22</v>
      </c>
      <c r="D19" s="22">
        <v>144</v>
      </c>
      <c r="E19" s="24">
        <f t="shared" ca="1" si="0"/>
        <v>45120</v>
      </c>
      <c r="F19" s="22"/>
      <c r="G19" s="22"/>
      <c r="H19" s="22"/>
      <c r="I19" s="47" t="str">
        <f t="shared" ca="1" si="1"/>
        <v>EXPIRED</v>
      </c>
      <c r="J19" s="2"/>
      <c r="K19" s="2"/>
      <c r="L19" s="2"/>
      <c r="M19" s="2"/>
    </row>
    <row r="20" spans="2:13" x14ac:dyDescent="0.35">
      <c r="B20" s="2" t="s">
        <v>23</v>
      </c>
      <c r="C20" s="2" t="s">
        <v>24</v>
      </c>
      <c r="D20" s="22">
        <v>140</v>
      </c>
      <c r="E20" s="24">
        <f t="shared" ca="1" si="0"/>
        <v>45129</v>
      </c>
      <c r="F20" s="22"/>
      <c r="G20" s="22"/>
      <c r="H20" s="22"/>
      <c r="I20" s="47" t="str">
        <f t="shared" ca="1" si="1"/>
        <v>EXPIRED</v>
      </c>
      <c r="J20" s="2"/>
      <c r="K20" s="2"/>
      <c r="L20" s="2"/>
      <c r="M20" s="2"/>
    </row>
    <row r="21" spans="2:13" x14ac:dyDescent="0.35">
      <c r="B21" s="2" t="s">
        <v>25</v>
      </c>
      <c r="C21" s="2" t="s">
        <v>26</v>
      </c>
      <c r="D21" s="22">
        <v>160</v>
      </c>
      <c r="E21" s="24">
        <f t="shared" ca="1" si="0"/>
        <v>45128</v>
      </c>
      <c r="F21" s="22"/>
      <c r="G21" s="22"/>
      <c r="H21" s="22"/>
      <c r="I21" s="47" t="str">
        <f t="shared" ca="1" si="1"/>
        <v>EXPIRED</v>
      </c>
      <c r="J21" s="2"/>
      <c r="K21" s="2"/>
      <c r="L21" s="2"/>
      <c r="M21" s="2"/>
    </row>
    <row r="22" spans="2:13" x14ac:dyDescent="0.35">
      <c r="B22" s="2" t="s">
        <v>27</v>
      </c>
      <c r="C22" s="2" t="s">
        <v>28</v>
      </c>
      <c r="D22" s="22">
        <v>139</v>
      </c>
      <c r="E22" s="24">
        <f t="shared" ca="1" si="0"/>
        <v>45122</v>
      </c>
      <c r="F22" s="22"/>
      <c r="G22" s="22"/>
      <c r="H22" s="22"/>
      <c r="I22" s="47" t="str">
        <f t="shared" ca="1" si="1"/>
        <v>EXPIRED</v>
      </c>
      <c r="J22" s="2"/>
      <c r="K22" s="2"/>
      <c r="L22" s="2"/>
      <c r="M22" s="2"/>
    </row>
    <row r="23" spans="2:13" x14ac:dyDescent="0.35">
      <c r="B23" s="2" t="s">
        <v>29</v>
      </c>
      <c r="C23" s="2" t="s">
        <v>30</v>
      </c>
      <c r="D23" s="22">
        <v>147</v>
      </c>
      <c r="E23" s="24">
        <f t="shared" ca="1" si="0"/>
        <v>45136</v>
      </c>
      <c r="F23" s="22" t="s">
        <v>99</v>
      </c>
      <c r="G23" s="22"/>
      <c r="H23" s="22"/>
      <c r="I23" s="47" t="str">
        <f t="shared" ca="1" si="1"/>
        <v>DELIVERED</v>
      </c>
      <c r="J23" s="2"/>
      <c r="K23" s="2"/>
      <c r="L23" s="2"/>
      <c r="M23" s="2"/>
    </row>
    <row r="24" spans="2:13" x14ac:dyDescent="0.35">
      <c r="B24" s="2" t="s">
        <v>31</v>
      </c>
      <c r="C24" s="2" t="s">
        <v>32</v>
      </c>
      <c r="D24" s="22">
        <v>129</v>
      </c>
      <c r="E24" s="24">
        <f t="shared" ca="1" si="0"/>
        <v>45130</v>
      </c>
      <c r="F24" s="22"/>
      <c r="G24" s="22"/>
      <c r="H24" s="22"/>
      <c r="I24" s="47" t="str">
        <f t="shared" ca="1" si="1"/>
        <v>EXPIRED</v>
      </c>
      <c r="J24" s="2"/>
      <c r="K24" s="2"/>
      <c r="L24" s="2"/>
      <c r="M24" s="2"/>
    </row>
    <row r="25" spans="2:13" x14ac:dyDescent="0.35">
      <c r="B25" s="2" t="s">
        <v>33</v>
      </c>
      <c r="C25" s="2" t="s">
        <v>8</v>
      </c>
      <c r="D25" s="22">
        <v>138</v>
      </c>
      <c r="E25" s="24">
        <f t="shared" ca="1" si="0"/>
        <v>45124</v>
      </c>
      <c r="F25" s="22"/>
      <c r="G25" s="22"/>
      <c r="H25" s="22"/>
      <c r="I25" s="47" t="str">
        <f t="shared" ca="1" si="1"/>
        <v>EXPIRED</v>
      </c>
      <c r="J25" s="2"/>
      <c r="K25" s="2"/>
      <c r="L25" s="2"/>
      <c r="M25" s="2"/>
    </row>
    <row r="26" spans="2:13" x14ac:dyDescent="0.35">
      <c r="B26" s="2" t="s">
        <v>34</v>
      </c>
      <c r="C26" s="2" t="s">
        <v>35</v>
      </c>
      <c r="D26" s="22">
        <v>146</v>
      </c>
      <c r="E26" s="24">
        <f t="shared" ca="1" si="0"/>
        <v>45133</v>
      </c>
      <c r="F26" s="22"/>
      <c r="G26" s="22"/>
      <c r="H26" s="22"/>
      <c r="I26" s="47" t="str">
        <f t="shared" ca="1" si="1"/>
        <v>EXPIRED</v>
      </c>
      <c r="J26" s="2"/>
      <c r="K26" s="2"/>
      <c r="L26" s="2"/>
      <c r="M26" s="2"/>
    </row>
    <row r="38" spans="12:12" x14ac:dyDescent="0.35">
      <c r="L38" s="54"/>
    </row>
  </sheetData>
  <mergeCells count="1">
    <mergeCell ref="C5:G5"/>
  </mergeCells>
  <conditionalFormatting sqref="F9:F26">
    <cfRule type="expression" dxfId="16" priority="1">
      <formula>I9="EXPIRED"</formula>
    </cfRule>
    <cfRule type="expression" dxfId="15" priority="2">
      <formula>I9="PENDING"</formula>
    </cfRule>
    <cfRule type="expression" dxfId="14" priority="3">
      <formula>I9="DELIVERED"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70C0"/>
  </sheetPr>
  <dimension ref="B2:J35"/>
  <sheetViews>
    <sheetView topLeftCell="A4" workbookViewId="0">
      <selection activeCell="K12" sqref="K12"/>
    </sheetView>
  </sheetViews>
  <sheetFormatPr defaultColWidth="11.453125" defaultRowHeight="14.5" x14ac:dyDescent="0.35"/>
  <cols>
    <col min="2" max="2" width="14.7265625" customWidth="1"/>
    <col min="3" max="3" width="7.1796875" customWidth="1"/>
    <col min="4" max="4" width="7.453125" customWidth="1"/>
    <col min="5" max="5" width="21" customWidth="1"/>
    <col min="6" max="6" width="20" customWidth="1"/>
    <col min="7" max="7" width="15.81640625" customWidth="1"/>
    <col min="9" max="9" width="11.453125" customWidth="1"/>
  </cols>
  <sheetData>
    <row r="2" spans="2:10" ht="18.5" x14ac:dyDescent="0.45">
      <c r="B2" s="59" t="s">
        <v>169</v>
      </c>
      <c r="C2" s="56" t="s">
        <v>181</v>
      </c>
    </row>
    <row r="3" spans="2:10" ht="18.5" x14ac:dyDescent="0.45">
      <c r="B3" s="58"/>
      <c r="C3" s="56"/>
    </row>
    <row r="4" spans="2:10" ht="18.5" x14ac:dyDescent="0.45">
      <c r="B4" s="58"/>
    </row>
    <row r="5" spans="2:10" ht="168" customHeight="1" x14ac:dyDescent="0.35">
      <c r="B5" s="61" t="s">
        <v>170</v>
      </c>
      <c r="C5" s="68" t="s">
        <v>184</v>
      </c>
      <c r="D5" s="68"/>
      <c r="E5" s="68"/>
      <c r="F5" s="68"/>
      <c r="G5" s="68"/>
      <c r="H5" s="68"/>
      <c r="I5" s="68"/>
      <c r="J5" s="68"/>
    </row>
    <row r="11" spans="2:10" s="20" customFormat="1" x14ac:dyDescent="0.35">
      <c r="B11" s="19" t="s">
        <v>142</v>
      </c>
      <c r="C11" s="19" t="s">
        <v>143</v>
      </c>
      <c r="D11" s="19" t="s">
        <v>144</v>
      </c>
      <c r="E11" s="19" t="s">
        <v>145</v>
      </c>
      <c r="F11" s="19" t="s">
        <v>146</v>
      </c>
      <c r="G11" s="19" t="s">
        <v>147</v>
      </c>
      <c r="H11" s="19"/>
      <c r="I11" s="43"/>
    </row>
    <row r="12" spans="2:10" x14ac:dyDescent="0.35">
      <c r="B12" t="s">
        <v>50</v>
      </c>
      <c r="C12" s="1">
        <v>2007</v>
      </c>
      <c r="D12" s="1" t="s">
        <v>77</v>
      </c>
      <c r="E12" s="1">
        <v>41</v>
      </c>
      <c r="F12" s="1">
        <v>34</v>
      </c>
      <c r="G12" s="1">
        <v>113</v>
      </c>
      <c r="H12" s="1"/>
    </row>
    <row r="13" spans="2:10" x14ac:dyDescent="0.35">
      <c r="B13" t="s">
        <v>51</v>
      </c>
      <c r="C13" s="1">
        <v>2007</v>
      </c>
      <c r="D13" s="1" t="s">
        <v>78</v>
      </c>
      <c r="E13" s="1">
        <v>29</v>
      </c>
      <c r="F13" s="1">
        <v>116</v>
      </c>
      <c r="G13" s="1">
        <v>118</v>
      </c>
      <c r="H13" s="1"/>
    </row>
    <row r="14" spans="2:10" x14ac:dyDescent="0.35">
      <c r="B14" t="s">
        <v>52</v>
      </c>
      <c r="C14" s="1">
        <v>2007</v>
      </c>
      <c r="D14" s="1" t="s">
        <v>79</v>
      </c>
      <c r="E14" s="1">
        <v>18</v>
      </c>
      <c r="F14" s="1">
        <v>88</v>
      </c>
      <c r="G14" s="1">
        <v>98</v>
      </c>
      <c r="H14" s="1"/>
    </row>
    <row r="15" spans="2:10" x14ac:dyDescent="0.35">
      <c r="B15" t="s">
        <v>53</v>
      </c>
      <c r="C15" s="1">
        <v>2007</v>
      </c>
      <c r="D15" s="1" t="s">
        <v>80</v>
      </c>
      <c r="E15" s="1">
        <v>104</v>
      </c>
      <c r="F15" s="1">
        <v>28</v>
      </c>
      <c r="G15" s="1">
        <v>91</v>
      </c>
      <c r="H15" s="1"/>
    </row>
    <row r="16" spans="2:10" x14ac:dyDescent="0.35">
      <c r="B16" t="s">
        <v>54</v>
      </c>
      <c r="C16" s="1">
        <v>2007</v>
      </c>
      <c r="D16" s="1" t="s">
        <v>81</v>
      </c>
      <c r="E16" s="1">
        <v>54</v>
      </c>
      <c r="F16" s="1">
        <v>43</v>
      </c>
      <c r="G16" s="1">
        <v>39</v>
      </c>
      <c r="H16" s="1"/>
    </row>
    <row r="17" spans="2:9" x14ac:dyDescent="0.35">
      <c r="B17" t="s">
        <v>55</v>
      </c>
      <c r="C17" s="1">
        <v>2007</v>
      </c>
      <c r="D17" s="1" t="s">
        <v>77</v>
      </c>
      <c r="E17" s="1">
        <v>27</v>
      </c>
      <c r="F17" s="1">
        <v>27</v>
      </c>
      <c r="G17" s="1">
        <v>62</v>
      </c>
      <c r="H17" s="1"/>
    </row>
    <row r="18" spans="2:9" ht="23.5" x14ac:dyDescent="0.55000000000000004">
      <c r="B18" t="s">
        <v>56</v>
      </c>
      <c r="C18" s="1">
        <v>2007</v>
      </c>
      <c r="D18" s="1" t="s">
        <v>78</v>
      </c>
      <c r="E18" s="1">
        <v>50</v>
      </c>
      <c r="F18" s="1">
        <v>90</v>
      </c>
      <c r="G18" s="1">
        <v>74</v>
      </c>
      <c r="H18" s="1"/>
      <c r="I18" s="40"/>
    </row>
    <row r="19" spans="2:9" x14ac:dyDescent="0.35">
      <c r="B19" t="s">
        <v>57</v>
      </c>
      <c r="C19" s="1">
        <v>2007</v>
      </c>
      <c r="D19" s="1" t="s">
        <v>79</v>
      </c>
      <c r="E19" s="1">
        <v>65</v>
      </c>
      <c r="F19" s="1">
        <v>51</v>
      </c>
      <c r="G19" s="1">
        <v>70</v>
      </c>
      <c r="H19" s="1"/>
    </row>
    <row r="20" spans="2:9" x14ac:dyDescent="0.35">
      <c r="B20" t="s">
        <v>58</v>
      </c>
      <c r="C20" s="1">
        <v>2007</v>
      </c>
      <c r="D20" s="1" t="s">
        <v>80</v>
      </c>
      <c r="E20" s="1">
        <v>73</v>
      </c>
      <c r="F20" s="1">
        <v>61</v>
      </c>
      <c r="G20" s="1">
        <v>125</v>
      </c>
      <c r="H20" s="1"/>
    </row>
    <row r="21" spans="2:9" x14ac:dyDescent="0.35">
      <c r="B21" t="s">
        <v>59</v>
      </c>
      <c r="C21" s="1">
        <v>2007</v>
      </c>
      <c r="D21" s="1" t="s">
        <v>81</v>
      </c>
      <c r="E21" s="1">
        <v>71</v>
      </c>
      <c r="F21" s="1">
        <v>46</v>
      </c>
      <c r="G21" s="1">
        <v>46</v>
      </c>
      <c r="H21" s="1"/>
    </row>
    <row r="22" spans="2:9" x14ac:dyDescent="0.35">
      <c r="B22" t="s">
        <v>60</v>
      </c>
      <c r="C22" s="1">
        <v>2007</v>
      </c>
      <c r="D22" s="1" t="s">
        <v>77</v>
      </c>
      <c r="E22" s="1">
        <v>31</v>
      </c>
      <c r="F22" s="1">
        <v>39</v>
      </c>
      <c r="G22" s="1">
        <v>102</v>
      </c>
      <c r="H22" s="1"/>
    </row>
    <row r="23" spans="2:9" x14ac:dyDescent="0.35">
      <c r="B23" t="s">
        <v>61</v>
      </c>
      <c r="C23" s="1">
        <v>2007</v>
      </c>
      <c r="D23" s="1" t="s">
        <v>78</v>
      </c>
      <c r="E23" s="1">
        <v>117</v>
      </c>
      <c r="F23" s="1">
        <v>30</v>
      </c>
      <c r="G23" s="1">
        <v>23</v>
      </c>
      <c r="H23" s="1"/>
    </row>
    <row r="24" spans="2:9" x14ac:dyDescent="0.35">
      <c r="B24" t="s">
        <v>50</v>
      </c>
      <c r="C24" s="1">
        <v>2008</v>
      </c>
      <c r="D24" s="1" t="s">
        <v>79</v>
      </c>
      <c r="E24" s="1">
        <v>113</v>
      </c>
      <c r="F24" s="1">
        <v>50</v>
      </c>
      <c r="G24" s="1">
        <v>123</v>
      </c>
      <c r="H24" s="1"/>
    </row>
    <row r="25" spans="2:9" x14ac:dyDescent="0.35">
      <c r="B25" t="s">
        <v>51</v>
      </c>
      <c r="C25" s="1">
        <v>2008</v>
      </c>
      <c r="D25" s="1" t="s">
        <v>80</v>
      </c>
      <c r="E25" s="1">
        <v>20</v>
      </c>
      <c r="F25" s="1">
        <v>74</v>
      </c>
      <c r="G25" s="1">
        <v>59</v>
      </c>
      <c r="H25" s="1"/>
    </row>
    <row r="26" spans="2:9" x14ac:dyDescent="0.35">
      <c r="B26" t="s">
        <v>52</v>
      </c>
      <c r="C26" s="1">
        <v>2008</v>
      </c>
      <c r="D26" s="1" t="s">
        <v>81</v>
      </c>
      <c r="E26" s="1">
        <v>105</v>
      </c>
      <c r="F26" s="1">
        <v>115</v>
      </c>
      <c r="G26" s="1">
        <v>78</v>
      </c>
      <c r="H26" s="1"/>
    </row>
    <row r="27" spans="2:9" x14ac:dyDescent="0.35">
      <c r="B27" t="s">
        <v>53</v>
      </c>
      <c r="C27" s="1">
        <v>2008</v>
      </c>
      <c r="D27" s="1" t="s">
        <v>77</v>
      </c>
      <c r="E27" s="1">
        <v>39</v>
      </c>
      <c r="F27" s="1">
        <v>70</v>
      </c>
      <c r="G27" s="1">
        <v>81</v>
      </c>
      <c r="H27" s="1"/>
    </row>
    <row r="28" spans="2:9" x14ac:dyDescent="0.35">
      <c r="B28" t="s">
        <v>54</v>
      </c>
      <c r="C28" s="1">
        <v>2008</v>
      </c>
      <c r="D28" s="1" t="s">
        <v>78</v>
      </c>
      <c r="E28" s="1">
        <v>41</v>
      </c>
      <c r="F28" s="1">
        <v>81</v>
      </c>
      <c r="G28" s="1">
        <v>52</v>
      </c>
      <c r="H28" s="1"/>
    </row>
    <row r="29" spans="2:9" x14ac:dyDescent="0.35">
      <c r="B29" t="s">
        <v>55</v>
      </c>
      <c r="C29" s="1">
        <v>2008</v>
      </c>
      <c r="D29" s="1" t="s">
        <v>79</v>
      </c>
      <c r="E29" s="1">
        <v>61</v>
      </c>
      <c r="F29" s="1">
        <v>31</v>
      </c>
      <c r="G29" s="1">
        <v>31</v>
      </c>
      <c r="H29" s="1"/>
    </row>
    <row r="30" spans="2:9" x14ac:dyDescent="0.35">
      <c r="B30" t="s">
        <v>56</v>
      </c>
      <c r="C30" s="1">
        <v>2008</v>
      </c>
      <c r="D30" s="1" t="s">
        <v>80</v>
      </c>
      <c r="E30" s="1">
        <v>72</v>
      </c>
      <c r="F30" s="1">
        <v>62</v>
      </c>
      <c r="G30" s="1">
        <v>39</v>
      </c>
      <c r="H30" s="1"/>
    </row>
    <row r="31" spans="2:9" x14ac:dyDescent="0.35">
      <c r="B31" t="s">
        <v>57</v>
      </c>
      <c r="C31" s="1">
        <v>2008</v>
      </c>
      <c r="D31" s="1" t="s">
        <v>81</v>
      </c>
      <c r="E31" s="1">
        <v>63</v>
      </c>
      <c r="F31" s="1">
        <v>115</v>
      </c>
      <c r="G31" s="1">
        <v>30</v>
      </c>
      <c r="H31" s="1"/>
    </row>
    <row r="32" spans="2:9" x14ac:dyDescent="0.35">
      <c r="B32" t="s">
        <v>58</v>
      </c>
      <c r="C32" s="1">
        <v>2008</v>
      </c>
      <c r="D32" s="1" t="s">
        <v>77</v>
      </c>
      <c r="E32" s="1">
        <v>93</v>
      </c>
      <c r="F32" s="1">
        <v>28</v>
      </c>
      <c r="G32" s="1">
        <v>86</v>
      </c>
      <c r="H32" s="1"/>
    </row>
    <row r="33" spans="2:8" x14ac:dyDescent="0.35">
      <c r="B33" t="s">
        <v>59</v>
      </c>
      <c r="C33" s="1">
        <v>2008</v>
      </c>
      <c r="D33" s="1" t="s">
        <v>78</v>
      </c>
      <c r="E33" s="1">
        <v>97</v>
      </c>
      <c r="F33" s="1">
        <v>123</v>
      </c>
      <c r="G33" s="1">
        <v>43</v>
      </c>
      <c r="H33" s="1"/>
    </row>
    <row r="34" spans="2:8" x14ac:dyDescent="0.35">
      <c r="B34" t="s">
        <v>60</v>
      </c>
      <c r="C34" s="1">
        <v>2008</v>
      </c>
      <c r="D34" s="1" t="s">
        <v>79</v>
      </c>
      <c r="E34" s="1">
        <v>88</v>
      </c>
      <c r="F34" s="1">
        <v>44</v>
      </c>
      <c r="G34" s="1">
        <v>89</v>
      </c>
      <c r="H34" s="1"/>
    </row>
    <row r="35" spans="2:8" x14ac:dyDescent="0.35">
      <c r="B35" t="s">
        <v>61</v>
      </c>
      <c r="C35" s="1">
        <v>2008</v>
      </c>
      <c r="D35" s="1" t="s">
        <v>80</v>
      </c>
      <c r="E35" s="1">
        <v>21</v>
      </c>
      <c r="F35" s="1">
        <v>98</v>
      </c>
      <c r="G35" s="1">
        <v>62</v>
      </c>
      <c r="H35" s="1"/>
    </row>
  </sheetData>
  <mergeCells count="1">
    <mergeCell ref="C5:J5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4">
    <tabColor rgb="FF0070C0"/>
  </sheetPr>
  <dimension ref="B2:L35"/>
  <sheetViews>
    <sheetView topLeftCell="A4" workbookViewId="0">
      <selection activeCell="M24" sqref="M24"/>
    </sheetView>
  </sheetViews>
  <sheetFormatPr defaultColWidth="11.453125" defaultRowHeight="14.5" x14ac:dyDescent="0.35"/>
  <cols>
    <col min="2" max="2" width="14.7265625" customWidth="1"/>
    <col min="3" max="3" width="7.1796875" customWidth="1"/>
    <col min="4" max="4" width="7.453125" customWidth="1"/>
    <col min="5" max="5" width="21" customWidth="1"/>
    <col min="6" max="6" width="20" customWidth="1"/>
    <col min="7" max="7" width="15.81640625" customWidth="1"/>
    <col min="8" max="8" width="17.453125" customWidth="1"/>
    <col min="9" max="9" width="16.81640625" bestFit="1" customWidth="1"/>
    <col min="10" max="10" width="17.81640625" bestFit="1" customWidth="1"/>
    <col min="12" max="12" width="11.453125" customWidth="1"/>
  </cols>
  <sheetData>
    <row r="2" spans="2:12" ht="18.5" x14ac:dyDescent="0.45">
      <c r="B2" s="59" t="s">
        <v>169</v>
      </c>
      <c r="C2" s="56" t="s">
        <v>181</v>
      </c>
    </row>
    <row r="3" spans="2:12" ht="18.5" x14ac:dyDescent="0.45">
      <c r="B3" s="58"/>
      <c r="C3" s="56"/>
    </row>
    <row r="4" spans="2:12" ht="18.5" x14ac:dyDescent="0.45">
      <c r="B4" s="58"/>
    </row>
    <row r="5" spans="2:12" ht="168" customHeight="1" x14ac:dyDescent="0.35">
      <c r="B5" s="61" t="s">
        <v>170</v>
      </c>
      <c r="C5" s="68" t="s">
        <v>184</v>
      </c>
      <c r="D5" s="68"/>
      <c r="E5" s="68"/>
      <c r="F5" s="68"/>
      <c r="G5" s="68"/>
      <c r="H5" s="68"/>
      <c r="I5" s="68"/>
    </row>
    <row r="11" spans="2:12" s="20" customFormat="1" x14ac:dyDescent="0.35">
      <c r="B11" s="19" t="s">
        <v>142</v>
      </c>
      <c r="C11" s="19" t="s">
        <v>143</v>
      </c>
      <c r="D11" s="19" t="s">
        <v>144</v>
      </c>
      <c r="E11" s="19" t="s">
        <v>145</v>
      </c>
      <c r="F11" s="19" t="s">
        <v>146</v>
      </c>
      <c r="G11" s="19" t="s">
        <v>147</v>
      </c>
      <c r="H11" s="19" t="s">
        <v>148</v>
      </c>
      <c r="I11" s="19" t="s">
        <v>149</v>
      </c>
      <c r="J11" s="19" t="s">
        <v>150</v>
      </c>
      <c r="K11" s="19"/>
      <c r="L11" s="43"/>
    </row>
    <row r="12" spans="2:12" x14ac:dyDescent="0.35">
      <c r="B12" t="s">
        <v>50</v>
      </c>
      <c r="C12" s="1">
        <v>2007</v>
      </c>
      <c r="D12" s="1" t="s">
        <v>77</v>
      </c>
      <c r="E12" s="1">
        <v>41</v>
      </c>
      <c r="F12" s="1">
        <v>34</v>
      </c>
      <c r="G12" s="1">
        <v>113</v>
      </c>
      <c r="H12" s="1">
        <f>Tabla8[[#This Row],[Sales Price]]-Tabla8[[#This Row],[Dealer Price]]</f>
        <v>79</v>
      </c>
      <c r="I12" s="1">
        <f>Tabla8[[#This Row],[Sales Price]]-Tabla8[[#This Row],[Dealer Price]]</f>
        <v>79</v>
      </c>
      <c r="J12" s="1">
        <f>Tabla8[[#This Row],[Sales Price]]-Tabla8[[#This Row],[Dealer Price]]</f>
        <v>79</v>
      </c>
      <c r="K12" s="1"/>
    </row>
    <row r="13" spans="2:12" x14ac:dyDescent="0.35">
      <c r="B13" t="s">
        <v>51</v>
      </c>
      <c r="C13" s="1">
        <v>2007</v>
      </c>
      <c r="D13" s="1" t="s">
        <v>78</v>
      </c>
      <c r="E13" s="1">
        <v>29</v>
      </c>
      <c r="F13" s="1">
        <v>116</v>
      </c>
      <c r="G13" s="1">
        <v>118</v>
      </c>
      <c r="H13" s="1">
        <f>Tabla8[[#This Row],[Sales Price]]-Tabla8[[#This Row],[Dealer Price]]</f>
        <v>2</v>
      </c>
      <c r="I13" s="1">
        <f>Tabla8[[#This Row],[Sales Price]]-Tabla8[[#This Row],[Dealer Price]]</f>
        <v>2</v>
      </c>
      <c r="J13" s="1">
        <f>Tabla8[[#This Row],[Sales Price]]-Tabla8[[#This Row],[Dealer Price]]</f>
        <v>2</v>
      </c>
      <c r="K13" s="1"/>
    </row>
    <row r="14" spans="2:12" x14ac:dyDescent="0.35">
      <c r="B14" t="s">
        <v>52</v>
      </c>
      <c r="C14" s="1">
        <v>2007</v>
      </c>
      <c r="D14" s="1" t="s">
        <v>79</v>
      </c>
      <c r="E14" s="1">
        <v>18</v>
      </c>
      <c r="F14" s="1">
        <v>88</v>
      </c>
      <c r="G14" s="1">
        <v>98</v>
      </c>
      <c r="H14" s="1">
        <f>Tabla8[[#This Row],[Sales Price]]-Tabla8[[#This Row],[Dealer Price]]</f>
        <v>10</v>
      </c>
      <c r="I14" s="1">
        <f>Tabla8[[#This Row],[Sales Price]]-Tabla8[[#This Row],[Dealer Price]]</f>
        <v>10</v>
      </c>
      <c r="J14" s="1">
        <f>Tabla8[[#This Row],[Sales Price]]-Tabla8[[#This Row],[Dealer Price]]</f>
        <v>10</v>
      </c>
      <c r="K14" s="1"/>
    </row>
    <row r="15" spans="2:12" x14ac:dyDescent="0.35">
      <c r="B15" t="s">
        <v>53</v>
      </c>
      <c r="C15" s="1">
        <v>2007</v>
      </c>
      <c r="D15" s="1" t="s">
        <v>80</v>
      </c>
      <c r="E15" s="1">
        <v>104</v>
      </c>
      <c r="F15" s="1">
        <v>28</v>
      </c>
      <c r="G15" s="1">
        <v>91</v>
      </c>
      <c r="H15" s="1">
        <f>Tabla8[[#This Row],[Sales Price]]-Tabla8[[#This Row],[Dealer Price]]</f>
        <v>63</v>
      </c>
      <c r="I15" s="1">
        <f>Tabla8[[#This Row],[Sales Price]]-Tabla8[[#This Row],[Dealer Price]]</f>
        <v>63</v>
      </c>
      <c r="J15" s="1">
        <f>Tabla8[[#This Row],[Sales Price]]-Tabla8[[#This Row],[Dealer Price]]</f>
        <v>63</v>
      </c>
      <c r="K15" s="1"/>
    </row>
    <row r="16" spans="2:12" x14ac:dyDescent="0.35">
      <c r="B16" t="s">
        <v>54</v>
      </c>
      <c r="C16" s="1">
        <v>2007</v>
      </c>
      <c r="D16" s="1" t="s">
        <v>81</v>
      </c>
      <c r="E16" s="1">
        <v>54</v>
      </c>
      <c r="F16" s="1">
        <v>43</v>
      </c>
      <c r="G16" s="1">
        <v>39</v>
      </c>
      <c r="H16" s="1">
        <f>Tabla8[[#This Row],[Sales Price]]-Tabla8[[#This Row],[Dealer Price]]</f>
        <v>-4</v>
      </c>
      <c r="I16" s="1">
        <f>Tabla8[[#This Row],[Sales Price]]-Tabla8[[#This Row],[Dealer Price]]</f>
        <v>-4</v>
      </c>
      <c r="J16" s="1">
        <f>Tabla8[[#This Row],[Sales Price]]-Tabla8[[#This Row],[Dealer Price]]</f>
        <v>-4</v>
      </c>
      <c r="K16" s="1"/>
    </row>
    <row r="17" spans="2:12" x14ac:dyDescent="0.35">
      <c r="B17" t="s">
        <v>55</v>
      </c>
      <c r="C17" s="1">
        <v>2007</v>
      </c>
      <c r="D17" s="1" t="s">
        <v>77</v>
      </c>
      <c r="E17" s="1">
        <v>27</v>
      </c>
      <c r="F17" s="1">
        <v>27</v>
      </c>
      <c r="G17" s="1">
        <v>62</v>
      </c>
      <c r="H17" s="1">
        <f>Tabla8[[#This Row],[Sales Price]]-Tabla8[[#This Row],[Dealer Price]]</f>
        <v>35</v>
      </c>
      <c r="I17" s="1">
        <f>Tabla8[[#This Row],[Sales Price]]-Tabla8[[#This Row],[Dealer Price]]</f>
        <v>35</v>
      </c>
      <c r="J17" s="1">
        <f>Tabla8[[#This Row],[Sales Price]]-Tabla8[[#This Row],[Dealer Price]]</f>
        <v>35</v>
      </c>
      <c r="K17" s="1"/>
    </row>
    <row r="18" spans="2:12" ht="23.5" x14ac:dyDescent="0.55000000000000004">
      <c r="B18" t="s">
        <v>56</v>
      </c>
      <c r="C18" s="1">
        <v>2007</v>
      </c>
      <c r="D18" s="1" t="s">
        <v>78</v>
      </c>
      <c r="E18" s="1">
        <v>50</v>
      </c>
      <c r="F18" s="1">
        <v>90</v>
      </c>
      <c r="G18" s="1">
        <v>74</v>
      </c>
      <c r="H18" s="1">
        <f>Tabla8[[#This Row],[Sales Price]]-Tabla8[[#This Row],[Dealer Price]]</f>
        <v>-16</v>
      </c>
      <c r="I18" s="1">
        <f>Tabla8[[#This Row],[Sales Price]]-Tabla8[[#This Row],[Dealer Price]]</f>
        <v>-16</v>
      </c>
      <c r="J18" s="1">
        <f>Tabla8[[#This Row],[Sales Price]]-Tabla8[[#This Row],[Dealer Price]]</f>
        <v>-16</v>
      </c>
      <c r="K18" s="1"/>
      <c r="L18" s="40"/>
    </row>
    <row r="19" spans="2:12" x14ac:dyDescent="0.35">
      <c r="B19" t="s">
        <v>57</v>
      </c>
      <c r="C19" s="1">
        <v>2007</v>
      </c>
      <c r="D19" s="1" t="s">
        <v>79</v>
      </c>
      <c r="E19" s="1">
        <v>65</v>
      </c>
      <c r="F19" s="1">
        <v>51</v>
      </c>
      <c r="G19" s="1">
        <v>70</v>
      </c>
      <c r="H19" s="1">
        <f>Tabla8[[#This Row],[Sales Price]]-Tabla8[[#This Row],[Dealer Price]]</f>
        <v>19</v>
      </c>
      <c r="I19" s="1">
        <f>Tabla8[[#This Row],[Sales Price]]-Tabla8[[#This Row],[Dealer Price]]</f>
        <v>19</v>
      </c>
      <c r="J19" s="1">
        <f>Tabla8[[#This Row],[Sales Price]]-Tabla8[[#This Row],[Dealer Price]]</f>
        <v>19</v>
      </c>
      <c r="K19" s="1"/>
    </row>
    <row r="20" spans="2:12" x14ac:dyDescent="0.35">
      <c r="B20" t="s">
        <v>58</v>
      </c>
      <c r="C20" s="1">
        <v>2007</v>
      </c>
      <c r="D20" s="1" t="s">
        <v>80</v>
      </c>
      <c r="E20" s="1">
        <v>73</v>
      </c>
      <c r="F20" s="1">
        <v>61</v>
      </c>
      <c r="G20" s="1">
        <v>125</v>
      </c>
      <c r="H20" s="1">
        <f>Tabla8[[#This Row],[Sales Price]]-Tabla8[[#This Row],[Dealer Price]]</f>
        <v>64</v>
      </c>
      <c r="I20" s="1">
        <f>Tabla8[[#This Row],[Sales Price]]-Tabla8[[#This Row],[Dealer Price]]</f>
        <v>64</v>
      </c>
      <c r="J20" s="1">
        <f>Tabla8[[#This Row],[Sales Price]]-Tabla8[[#This Row],[Dealer Price]]</f>
        <v>64</v>
      </c>
      <c r="K20" s="1"/>
    </row>
    <row r="21" spans="2:12" x14ac:dyDescent="0.35">
      <c r="B21" t="s">
        <v>59</v>
      </c>
      <c r="C21" s="1">
        <v>2007</v>
      </c>
      <c r="D21" s="1" t="s">
        <v>81</v>
      </c>
      <c r="E21" s="1">
        <v>71</v>
      </c>
      <c r="F21" s="1">
        <v>46</v>
      </c>
      <c r="G21" s="1">
        <v>46</v>
      </c>
      <c r="H21" s="1">
        <f>Tabla8[[#This Row],[Sales Price]]-Tabla8[[#This Row],[Dealer Price]]</f>
        <v>0</v>
      </c>
      <c r="I21" s="1">
        <f>Tabla8[[#This Row],[Sales Price]]-Tabla8[[#This Row],[Dealer Price]]</f>
        <v>0</v>
      </c>
      <c r="J21" s="1">
        <f>Tabla8[[#This Row],[Sales Price]]-Tabla8[[#This Row],[Dealer Price]]</f>
        <v>0</v>
      </c>
      <c r="K21" s="1"/>
    </row>
    <row r="22" spans="2:12" x14ac:dyDescent="0.35">
      <c r="B22" t="s">
        <v>60</v>
      </c>
      <c r="C22" s="1">
        <v>2007</v>
      </c>
      <c r="D22" s="1" t="s">
        <v>77</v>
      </c>
      <c r="E22" s="1">
        <v>31</v>
      </c>
      <c r="F22" s="1">
        <v>39</v>
      </c>
      <c r="G22" s="1">
        <v>102</v>
      </c>
      <c r="H22" s="1">
        <f>Tabla8[[#This Row],[Sales Price]]-Tabla8[[#This Row],[Dealer Price]]</f>
        <v>63</v>
      </c>
      <c r="I22" s="1">
        <f>Tabla8[[#This Row],[Sales Price]]-Tabla8[[#This Row],[Dealer Price]]</f>
        <v>63</v>
      </c>
      <c r="J22" s="1">
        <f>Tabla8[[#This Row],[Sales Price]]-Tabla8[[#This Row],[Dealer Price]]</f>
        <v>63</v>
      </c>
      <c r="K22" s="1"/>
    </row>
    <row r="23" spans="2:12" x14ac:dyDescent="0.35">
      <c r="B23" t="s">
        <v>61</v>
      </c>
      <c r="C23" s="1">
        <v>2007</v>
      </c>
      <c r="D23" s="1" t="s">
        <v>78</v>
      </c>
      <c r="E23" s="1">
        <v>117</v>
      </c>
      <c r="F23" s="1">
        <v>30</v>
      </c>
      <c r="G23" s="1">
        <v>23</v>
      </c>
      <c r="H23" s="1">
        <f>Tabla8[[#This Row],[Sales Price]]-Tabla8[[#This Row],[Dealer Price]]</f>
        <v>-7</v>
      </c>
      <c r="I23" s="1">
        <f>Tabla8[[#This Row],[Sales Price]]-Tabla8[[#This Row],[Dealer Price]]</f>
        <v>-7</v>
      </c>
      <c r="J23" s="1">
        <f>Tabla8[[#This Row],[Sales Price]]-Tabla8[[#This Row],[Dealer Price]]</f>
        <v>-7</v>
      </c>
      <c r="K23" s="1"/>
    </row>
    <row r="24" spans="2:12" x14ac:dyDescent="0.35">
      <c r="B24" t="s">
        <v>50</v>
      </c>
      <c r="C24" s="1">
        <v>2008</v>
      </c>
      <c r="D24" s="1" t="s">
        <v>79</v>
      </c>
      <c r="E24" s="1">
        <v>113</v>
      </c>
      <c r="F24" s="1">
        <v>50</v>
      </c>
      <c r="G24" s="1">
        <v>123</v>
      </c>
      <c r="H24" s="1">
        <f>Tabla8[[#This Row],[Sales Price]]-Tabla8[[#This Row],[Dealer Price]]</f>
        <v>73</v>
      </c>
      <c r="I24" s="1">
        <f>Tabla8[[#This Row],[Sales Price]]-Tabla8[[#This Row],[Dealer Price]]</f>
        <v>73</v>
      </c>
      <c r="J24" s="1">
        <f>Tabla8[[#This Row],[Sales Price]]-Tabla8[[#This Row],[Dealer Price]]</f>
        <v>73</v>
      </c>
      <c r="K24" s="1"/>
    </row>
    <row r="25" spans="2:12" x14ac:dyDescent="0.35">
      <c r="B25" t="s">
        <v>51</v>
      </c>
      <c r="C25" s="1">
        <v>2008</v>
      </c>
      <c r="D25" s="1" t="s">
        <v>80</v>
      </c>
      <c r="E25" s="1">
        <v>20</v>
      </c>
      <c r="F25" s="1">
        <v>74</v>
      </c>
      <c r="G25" s="1">
        <v>59</v>
      </c>
      <c r="H25" s="1">
        <f>Tabla8[[#This Row],[Sales Price]]-Tabla8[[#This Row],[Dealer Price]]</f>
        <v>-15</v>
      </c>
      <c r="I25" s="1">
        <f>Tabla8[[#This Row],[Sales Price]]-Tabla8[[#This Row],[Dealer Price]]</f>
        <v>-15</v>
      </c>
      <c r="J25" s="1">
        <f>Tabla8[[#This Row],[Sales Price]]-Tabla8[[#This Row],[Dealer Price]]</f>
        <v>-15</v>
      </c>
      <c r="K25" s="1"/>
    </row>
    <row r="26" spans="2:12" x14ac:dyDescent="0.35">
      <c r="B26" t="s">
        <v>52</v>
      </c>
      <c r="C26" s="1">
        <v>2008</v>
      </c>
      <c r="D26" s="1" t="s">
        <v>81</v>
      </c>
      <c r="E26" s="1">
        <v>105</v>
      </c>
      <c r="F26" s="1">
        <v>115</v>
      </c>
      <c r="G26" s="1">
        <v>78</v>
      </c>
      <c r="H26" s="1">
        <f>Tabla8[[#This Row],[Sales Price]]-Tabla8[[#This Row],[Dealer Price]]</f>
        <v>-37</v>
      </c>
      <c r="I26" s="1">
        <f>Tabla8[[#This Row],[Sales Price]]-Tabla8[[#This Row],[Dealer Price]]</f>
        <v>-37</v>
      </c>
      <c r="J26" s="1">
        <f>Tabla8[[#This Row],[Sales Price]]-Tabla8[[#This Row],[Dealer Price]]</f>
        <v>-37</v>
      </c>
      <c r="K26" s="1"/>
    </row>
    <row r="27" spans="2:12" x14ac:dyDescent="0.35">
      <c r="B27" t="s">
        <v>53</v>
      </c>
      <c r="C27" s="1">
        <v>2008</v>
      </c>
      <c r="D27" s="1" t="s">
        <v>77</v>
      </c>
      <c r="E27" s="1">
        <v>39</v>
      </c>
      <c r="F27" s="1">
        <v>70</v>
      </c>
      <c r="G27" s="1">
        <v>81</v>
      </c>
      <c r="H27" s="1">
        <f>Tabla8[[#This Row],[Sales Price]]-Tabla8[[#This Row],[Dealer Price]]</f>
        <v>11</v>
      </c>
      <c r="I27" s="1">
        <f>Tabla8[[#This Row],[Sales Price]]-Tabla8[[#This Row],[Dealer Price]]</f>
        <v>11</v>
      </c>
      <c r="J27" s="1">
        <f>Tabla8[[#This Row],[Sales Price]]-Tabla8[[#This Row],[Dealer Price]]</f>
        <v>11</v>
      </c>
      <c r="K27" s="1"/>
    </row>
    <row r="28" spans="2:12" x14ac:dyDescent="0.35">
      <c r="B28" t="s">
        <v>54</v>
      </c>
      <c r="C28" s="1">
        <v>2008</v>
      </c>
      <c r="D28" s="1" t="s">
        <v>78</v>
      </c>
      <c r="E28" s="1">
        <v>41</v>
      </c>
      <c r="F28" s="1">
        <v>81</v>
      </c>
      <c r="G28" s="1">
        <v>52</v>
      </c>
      <c r="H28" s="1">
        <f>Tabla8[[#This Row],[Sales Price]]-Tabla8[[#This Row],[Dealer Price]]</f>
        <v>-29</v>
      </c>
      <c r="I28" s="1">
        <f>Tabla8[[#This Row],[Sales Price]]-Tabla8[[#This Row],[Dealer Price]]</f>
        <v>-29</v>
      </c>
      <c r="J28" s="1">
        <f>Tabla8[[#This Row],[Sales Price]]-Tabla8[[#This Row],[Dealer Price]]</f>
        <v>-29</v>
      </c>
      <c r="K28" s="1"/>
    </row>
    <row r="29" spans="2:12" x14ac:dyDescent="0.35">
      <c r="B29" t="s">
        <v>55</v>
      </c>
      <c r="C29" s="1">
        <v>2008</v>
      </c>
      <c r="D29" s="1" t="s">
        <v>79</v>
      </c>
      <c r="E29" s="1">
        <v>61</v>
      </c>
      <c r="F29" s="1">
        <v>31</v>
      </c>
      <c r="G29" s="1">
        <v>31</v>
      </c>
      <c r="H29" s="1">
        <f>Tabla8[[#This Row],[Sales Price]]-Tabla8[[#This Row],[Dealer Price]]</f>
        <v>0</v>
      </c>
      <c r="I29" s="1">
        <f>Tabla8[[#This Row],[Sales Price]]-Tabla8[[#This Row],[Dealer Price]]</f>
        <v>0</v>
      </c>
      <c r="J29" s="1">
        <f>Tabla8[[#This Row],[Sales Price]]-Tabla8[[#This Row],[Dealer Price]]</f>
        <v>0</v>
      </c>
      <c r="K29" s="1"/>
    </row>
    <row r="30" spans="2:12" x14ac:dyDescent="0.35">
      <c r="B30" t="s">
        <v>56</v>
      </c>
      <c r="C30" s="1">
        <v>2008</v>
      </c>
      <c r="D30" s="1" t="s">
        <v>80</v>
      </c>
      <c r="E30" s="1">
        <v>72</v>
      </c>
      <c r="F30" s="1">
        <v>62</v>
      </c>
      <c r="G30" s="1">
        <v>39</v>
      </c>
      <c r="H30" s="1">
        <f>Tabla8[[#This Row],[Sales Price]]-Tabla8[[#This Row],[Dealer Price]]</f>
        <v>-23</v>
      </c>
      <c r="I30" s="1">
        <f>Tabla8[[#This Row],[Sales Price]]-Tabla8[[#This Row],[Dealer Price]]</f>
        <v>-23</v>
      </c>
      <c r="J30" s="1">
        <f>Tabla8[[#This Row],[Sales Price]]-Tabla8[[#This Row],[Dealer Price]]</f>
        <v>-23</v>
      </c>
      <c r="K30" s="1"/>
    </row>
    <row r="31" spans="2:12" x14ac:dyDescent="0.35">
      <c r="B31" t="s">
        <v>57</v>
      </c>
      <c r="C31" s="1">
        <v>2008</v>
      </c>
      <c r="D31" s="1" t="s">
        <v>81</v>
      </c>
      <c r="E31" s="1">
        <v>63</v>
      </c>
      <c r="F31" s="1">
        <v>115</v>
      </c>
      <c r="G31" s="1">
        <v>30</v>
      </c>
      <c r="H31" s="1">
        <f>Tabla8[[#This Row],[Sales Price]]-Tabla8[[#This Row],[Dealer Price]]</f>
        <v>-85</v>
      </c>
      <c r="I31" s="1">
        <f>Tabla8[[#This Row],[Sales Price]]-Tabla8[[#This Row],[Dealer Price]]</f>
        <v>-85</v>
      </c>
      <c r="J31" s="1">
        <f>Tabla8[[#This Row],[Sales Price]]-Tabla8[[#This Row],[Dealer Price]]</f>
        <v>-85</v>
      </c>
      <c r="K31" s="1"/>
    </row>
    <row r="32" spans="2:12" x14ac:dyDescent="0.35">
      <c r="B32" t="s">
        <v>58</v>
      </c>
      <c r="C32" s="1">
        <v>2008</v>
      </c>
      <c r="D32" s="1" t="s">
        <v>77</v>
      </c>
      <c r="E32" s="1">
        <v>93</v>
      </c>
      <c r="F32" s="1">
        <v>28</v>
      </c>
      <c r="G32" s="1">
        <v>86</v>
      </c>
      <c r="H32" s="1">
        <f>Tabla8[[#This Row],[Sales Price]]-Tabla8[[#This Row],[Dealer Price]]</f>
        <v>58</v>
      </c>
      <c r="I32" s="1">
        <f>Tabla8[[#This Row],[Sales Price]]-Tabla8[[#This Row],[Dealer Price]]</f>
        <v>58</v>
      </c>
      <c r="J32" s="1">
        <f>Tabla8[[#This Row],[Sales Price]]-Tabla8[[#This Row],[Dealer Price]]</f>
        <v>58</v>
      </c>
      <c r="K32" s="1"/>
    </row>
    <row r="33" spans="2:11" x14ac:dyDescent="0.35">
      <c r="B33" t="s">
        <v>59</v>
      </c>
      <c r="C33" s="1">
        <v>2008</v>
      </c>
      <c r="D33" s="1" t="s">
        <v>78</v>
      </c>
      <c r="E33" s="1">
        <v>97</v>
      </c>
      <c r="F33" s="1">
        <v>123</v>
      </c>
      <c r="G33" s="1">
        <v>43</v>
      </c>
      <c r="H33" s="1">
        <f>Tabla8[[#This Row],[Sales Price]]-Tabla8[[#This Row],[Dealer Price]]</f>
        <v>-80</v>
      </c>
      <c r="I33" s="1">
        <f>Tabla8[[#This Row],[Sales Price]]-Tabla8[[#This Row],[Dealer Price]]</f>
        <v>-80</v>
      </c>
      <c r="J33" s="1">
        <f>Tabla8[[#This Row],[Sales Price]]-Tabla8[[#This Row],[Dealer Price]]</f>
        <v>-80</v>
      </c>
      <c r="K33" s="1"/>
    </row>
    <row r="34" spans="2:11" x14ac:dyDescent="0.35">
      <c r="B34" t="s">
        <v>60</v>
      </c>
      <c r="C34" s="1">
        <v>2008</v>
      </c>
      <c r="D34" s="1" t="s">
        <v>79</v>
      </c>
      <c r="E34" s="1">
        <v>88</v>
      </c>
      <c r="F34" s="1">
        <v>44</v>
      </c>
      <c r="G34" s="1">
        <v>89</v>
      </c>
      <c r="H34" s="1">
        <f>Tabla8[[#This Row],[Sales Price]]-Tabla8[[#This Row],[Dealer Price]]</f>
        <v>45</v>
      </c>
      <c r="I34" s="1">
        <f>Tabla8[[#This Row],[Sales Price]]-Tabla8[[#This Row],[Dealer Price]]</f>
        <v>45</v>
      </c>
      <c r="J34" s="1">
        <f>Tabla8[[#This Row],[Sales Price]]-Tabla8[[#This Row],[Dealer Price]]</f>
        <v>45</v>
      </c>
      <c r="K34" s="1"/>
    </row>
    <row r="35" spans="2:11" x14ac:dyDescent="0.35">
      <c r="B35" t="s">
        <v>61</v>
      </c>
      <c r="C35" s="1">
        <v>2008</v>
      </c>
      <c r="D35" s="1" t="s">
        <v>80</v>
      </c>
      <c r="E35" s="1">
        <v>21</v>
      </c>
      <c r="F35" s="1">
        <v>98</v>
      </c>
      <c r="G35" s="1">
        <v>62</v>
      </c>
      <c r="H35" s="1">
        <f>Tabla8[[#This Row],[Sales Price]]-Tabla8[[#This Row],[Dealer Price]]</f>
        <v>-36</v>
      </c>
      <c r="I35" s="1">
        <f>Tabla8[[#This Row],[Sales Price]]-Tabla8[[#This Row],[Dealer Price]]</f>
        <v>-36</v>
      </c>
      <c r="J35" s="1">
        <f>Tabla8[[#This Row],[Sales Price]]-Tabla8[[#This Row],[Dealer Price]]</f>
        <v>-36</v>
      </c>
      <c r="K35" s="1"/>
    </row>
  </sheetData>
  <mergeCells count="1">
    <mergeCell ref="C5:I5"/>
  </mergeCells>
  <conditionalFormatting sqref="H12:H35">
    <cfRule type="expression" dxfId="13" priority="3">
      <formula>H12&gt;0</formula>
    </cfRule>
    <cfRule type="expression" dxfId="12" priority="4">
      <formula>H12=0</formula>
    </cfRule>
    <cfRule type="expression" dxfId="11" priority="5">
      <formula>H12&lt;0</formula>
    </cfRule>
  </conditionalFormatting>
  <conditionalFormatting sqref="I12:I35">
    <cfRule type="dataBar" priority="2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{54D6BAAA-EB6C-489D-A9DB-A74D1A72E09C}</x14:id>
        </ext>
      </extLst>
    </cfRule>
  </conditionalFormatting>
  <conditionalFormatting sqref="J12:J35">
    <cfRule type="iconSet" priority="1">
      <iconSet iconSet="3Arrows">
        <cfvo type="percent" val="0"/>
        <cfvo type="num" val="0"/>
        <cfvo type="num" val="0" gte="0"/>
      </iconSet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4D6BAAA-EB6C-489D-A9DB-A74D1A72E0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I12:I35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5">
    <tabColor theme="7" tint="-0.499984740745262"/>
  </sheetPr>
  <dimension ref="B2:K57"/>
  <sheetViews>
    <sheetView workbookViewId="0"/>
  </sheetViews>
  <sheetFormatPr defaultColWidth="11.453125" defaultRowHeight="14.5" x14ac:dyDescent="0.35"/>
  <cols>
    <col min="1" max="1" width="7.54296875" customWidth="1"/>
    <col min="5" max="5" width="21.54296875" customWidth="1"/>
    <col min="6" max="6" width="22.453125" customWidth="1"/>
    <col min="7" max="7" width="18.26953125" customWidth="1"/>
    <col min="10" max="10" width="54.7265625" customWidth="1"/>
    <col min="11" max="11" width="38.81640625" customWidth="1"/>
  </cols>
  <sheetData>
    <row r="2" spans="2:11" ht="23.5" x14ac:dyDescent="0.55000000000000004">
      <c r="B2" s="40" t="s">
        <v>85</v>
      </c>
      <c r="J2" s="41" t="s">
        <v>64</v>
      </c>
    </row>
    <row r="3" spans="2:11" ht="23.5" x14ac:dyDescent="0.55000000000000004">
      <c r="B3" s="41"/>
    </row>
    <row r="5" spans="2:11" s="38" customFormat="1" ht="21.75" customHeight="1" x14ac:dyDescent="0.35">
      <c r="B5" s="38" t="s">
        <v>84</v>
      </c>
      <c r="C5" s="38" t="s">
        <v>74</v>
      </c>
      <c r="D5" s="38" t="s">
        <v>75</v>
      </c>
      <c r="E5" s="38" t="s">
        <v>82</v>
      </c>
      <c r="F5" s="38" t="s">
        <v>83</v>
      </c>
      <c r="G5" s="38" t="s">
        <v>76</v>
      </c>
      <c r="H5" s="38" t="s">
        <v>65</v>
      </c>
      <c r="J5" s="39" t="s">
        <v>66</v>
      </c>
      <c r="K5" s="39" t="s">
        <v>67</v>
      </c>
    </row>
    <row r="6" spans="2:11" x14ac:dyDescent="0.35">
      <c r="B6" t="s">
        <v>50</v>
      </c>
      <c r="C6">
        <v>2007</v>
      </c>
      <c r="D6" t="s">
        <v>77</v>
      </c>
      <c r="E6" s="1">
        <v>41</v>
      </c>
      <c r="F6" s="1">
        <v>34</v>
      </c>
      <c r="G6">
        <v>113</v>
      </c>
      <c r="H6">
        <f>Tabla6[[#This Row],[Precio Público]]-Tabla6[[#This Row],[Precio Distribución]]</f>
        <v>79</v>
      </c>
      <c r="J6" t="s">
        <v>68</v>
      </c>
      <c r="K6" t="s">
        <v>69</v>
      </c>
    </row>
    <row r="7" spans="2:11" x14ac:dyDescent="0.35">
      <c r="B7" t="s">
        <v>51</v>
      </c>
      <c r="C7">
        <v>2007</v>
      </c>
      <c r="D7" t="s">
        <v>78</v>
      </c>
      <c r="E7" s="1">
        <v>29</v>
      </c>
      <c r="F7" s="1">
        <v>116</v>
      </c>
      <c r="G7">
        <v>118</v>
      </c>
      <c r="H7">
        <f>Tabla6[[#This Row],[Precio Público]]-Tabla6[[#This Row],[Precio Distribución]]</f>
        <v>2</v>
      </c>
      <c r="J7" t="s">
        <v>70</v>
      </c>
      <c r="K7" t="s">
        <v>71</v>
      </c>
    </row>
    <row r="8" spans="2:11" x14ac:dyDescent="0.35">
      <c r="B8" t="s">
        <v>52</v>
      </c>
      <c r="C8">
        <v>2007</v>
      </c>
      <c r="D8" t="s">
        <v>79</v>
      </c>
      <c r="E8" s="1">
        <v>18</v>
      </c>
      <c r="F8" s="1">
        <v>88</v>
      </c>
      <c r="G8">
        <v>98</v>
      </c>
      <c r="H8">
        <f>Tabla6[[#This Row],[Precio Público]]-Tabla6[[#This Row],[Precio Distribución]]</f>
        <v>10</v>
      </c>
      <c r="J8" t="s">
        <v>72</v>
      </c>
      <c r="K8" t="s">
        <v>73</v>
      </c>
    </row>
    <row r="9" spans="2:11" x14ac:dyDescent="0.35">
      <c r="B9" t="s">
        <v>53</v>
      </c>
      <c r="C9">
        <v>2007</v>
      </c>
      <c r="D9" t="s">
        <v>80</v>
      </c>
      <c r="E9" s="1">
        <v>104</v>
      </c>
      <c r="F9" s="1">
        <v>28</v>
      </c>
      <c r="G9">
        <v>91</v>
      </c>
      <c r="H9">
        <f>Tabla6[[#This Row],[Precio Público]]-Tabla6[[#This Row],[Precio Distribución]]</f>
        <v>63</v>
      </c>
    </row>
    <row r="10" spans="2:11" x14ac:dyDescent="0.35">
      <c r="B10" t="s">
        <v>54</v>
      </c>
      <c r="C10">
        <v>2007</v>
      </c>
      <c r="D10" t="s">
        <v>81</v>
      </c>
      <c r="E10" s="1">
        <v>54</v>
      </c>
      <c r="F10" s="1">
        <v>43</v>
      </c>
      <c r="G10">
        <v>39</v>
      </c>
      <c r="H10">
        <f>Tabla6[[#This Row],[Precio Público]]-Tabla6[[#This Row],[Precio Distribución]]</f>
        <v>-4</v>
      </c>
    </row>
    <row r="11" spans="2:11" x14ac:dyDescent="0.35">
      <c r="B11" t="s">
        <v>55</v>
      </c>
      <c r="C11">
        <v>2007</v>
      </c>
      <c r="D11" t="s">
        <v>77</v>
      </c>
      <c r="E11" s="1">
        <v>27</v>
      </c>
      <c r="F11" s="1">
        <v>27</v>
      </c>
      <c r="G11">
        <v>62</v>
      </c>
      <c r="H11">
        <f>Tabla6[[#This Row],[Precio Público]]-Tabla6[[#This Row],[Precio Distribución]]</f>
        <v>35</v>
      </c>
    </row>
    <row r="12" spans="2:11" x14ac:dyDescent="0.35">
      <c r="B12" t="s">
        <v>56</v>
      </c>
      <c r="C12">
        <v>2007</v>
      </c>
      <c r="D12" t="s">
        <v>78</v>
      </c>
      <c r="E12" s="1">
        <v>50</v>
      </c>
      <c r="F12" s="1">
        <v>90</v>
      </c>
      <c r="G12">
        <v>90</v>
      </c>
      <c r="H12">
        <f>Tabla6[[#This Row],[Precio Público]]-Tabla6[[#This Row],[Precio Distribución]]</f>
        <v>0</v>
      </c>
    </row>
    <row r="13" spans="2:11" x14ac:dyDescent="0.35">
      <c r="B13" t="s">
        <v>57</v>
      </c>
      <c r="C13">
        <v>2007</v>
      </c>
      <c r="D13" t="s">
        <v>79</v>
      </c>
      <c r="E13" s="1">
        <v>65</v>
      </c>
      <c r="F13" s="1">
        <v>51</v>
      </c>
      <c r="G13">
        <v>70</v>
      </c>
      <c r="H13">
        <f>Tabla6[[#This Row],[Precio Público]]-Tabla6[[#This Row],[Precio Distribución]]</f>
        <v>19</v>
      </c>
    </row>
    <row r="14" spans="2:11" x14ac:dyDescent="0.35">
      <c r="B14" t="s">
        <v>58</v>
      </c>
      <c r="C14">
        <v>2007</v>
      </c>
      <c r="D14" t="s">
        <v>80</v>
      </c>
      <c r="E14" s="1">
        <v>73</v>
      </c>
      <c r="F14" s="1">
        <v>61</v>
      </c>
      <c r="G14">
        <v>40</v>
      </c>
      <c r="H14">
        <f>Tabla6[[#This Row],[Precio Público]]-Tabla6[[#This Row],[Precio Distribución]]</f>
        <v>-21</v>
      </c>
    </row>
    <row r="15" spans="2:11" x14ac:dyDescent="0.35">
      <c r="B15" t="s">
        <v>59</v>
      </c>
      <c r="C15">
        <v>2007</v>
      </c>
      <c r="D15" t="s">
        <v>81</v>
      </c>
      <c r="E15" s="1">
        <v>71</v>
      </c>
      <c r="F15" s="1">
        <v>46</v>
      </c>
      <c r="G15">
        <v>43</v>
      </c>
      <c r="H15">
        <f>Tabla6[[#This Row],[Precio Público]]-Tabla6[[#This Row],[Precio Distribución]]</f>
        <v>-3</v>
      </c>
    </row>
    <row r="16" spans="2:11" x14ac:dyDescent="0.35">
      <c r="B16" t="s">
        <v>60</v>
      </c>
      <c r="C16">
        <v>2007</v>
      </c>
      <c r="D16" t="s">
        <v>77</v>
      </c>
      <c r="E16" s="1">
        <v>31</v>
      </c>
      <c r="F16" s="1">
        <v>39</v>
      </c>
      <c r="G16">
        <v>102</v>
      </c>
      <c r="H16">
        <f>Tabla6[[#This Row],[Precio Público]]-Tabla6[[#This Row],[Precio Distribución]]</f>
        <v>63</v>
      </c>
    </row>
    <row r="17" spans="2:8" x14ac:dyDescent="0.35">
      <c r="B17" t="s">
        <v>61</v>
      </c>
      <c r="C17">
        <v>2007</v>
      </c>
      <c r="D17" t="s">
        <v>78</v>
      </c>
      <c r="E17" s="1">
        <v>117</v>
      </c>
      <c r="F17" s="1">
        <v>30</v>
      </c>
      <c r="G17">
        <v>23</v>
      </c>
      <c r="H17">
        <f>Tabla6[[#This Row],[Precio Público]]-Tabla6[[#This Row],[Precio Distribución]]</f>
        <v>-7</v>
      </c>
    </row>
    <row r="18" spans="2:8" x14ac:dyDescent="0.35">
      <c r="B18" t="s">
        <v>50</v>
      </c>
      <c r="C18">
        <v>2008</v>
      </c>
      <c r="D18" t="s">
        <v>79</v>
      </c>
      <c r="E18" s="1">
        <v>113</v>
      </c>
      <c r="F18" s="1">
        <v>50</v>
      </c>
      <c r="G18">
        <v>123</v>
      </c>
      <c r="H18">
        <f>Tabla6[[#This Row],[Precio Público]]-Tabla6[[#This Row],[Precio Distribución]]</f>
        <v>73</v>
      </c>
    </row>
    <row r="19" spans="2:8" x14ac:dyDescent="0.35">
      <c r="B19" t="s">
        <v>51</v>
      </c>
      <c r="C19">
        <v>2008</v>
      </c>
      <c r="D19" t="s">
        <v>80</v>
      </c>
      <c r="E19" s="1">
        <v>20</v>
      </c>
      <c r="F19" s="1">
        <v>74</v>
      </c>
      <c r="G19">
        <v>59</v>
      </c>
      <c r="H19">
        <f>Tabla6[[#This Row],[Precio Público]]-Tabla6[[#This Row],[Precio Distribución]]</f>
        <v>-15</v>
      </c>
    </row>
    <row r="20" spans="2:8" x14ac:dyDescent="0.35">
      <c r="B20" t="s">
        <v>52</v>
      </c>
      <c r="C20">
        <v>2008</v>
      </c>
      <c r="D20" t="s">
        <v>81</v>
      </c>
      <c r="E20" s="1">
        <v>105</v>
      </c>
      <c r="F20" s="1">
        <v>115</v>
      </c>
      <c r="G20">
        <v>78</v>
      </c>
      <c r="H20">
        <f>Tabla6[[#This Row],[Precio Público]]-Tabla6[[#This Row],[Precio Distribución]]</f>
        <v>-37</v>
      </c>
    </row>
    <row r="21" spans="2:8" x14ac:dyDescent="0.35">
      <c r="B21" t="s">
        <v>53</v>
      </c>
      <c r="C21">
        <v>2008</v>
      </c>
      <c r="D21" t="s">
        <v>77</v>
      </c>
      <c r="E21" s="1">
        <v>39</v>
      </c>
      <c r="F21" s="1">
        <v>70</v>
      </c>
      <c r="G21">
        <v>81</v>
      </c>
      <c r="H21">
        <f>Tabla6[[#This Row],[Precio Público]]-Tabla6[[#This Row],[Precio Distribución]]</f>
        <v>11</v>
      </c>
    </row>
    <row r="22" spans="2:8" x14ac:dyDescent="0.35">
      <c r="B22" t="s">
        <v>54</v>
      </c>
      <c r="C22">
        <v>2008</v>
      </c>
      <c r="D22" t="s">
        <v>78</v>
      </c>
      <c r="E22" s="1">
        <v>41</v>
      </c>
      <c r="F22" s="1">
        <v>81</v>
      </c>
      <c r="G22">
        <v>52</v>
      </c>
      <c r="H22">
        <f>Tabla6[[#This Row],[Precio Público]]-Tabla6[[#This Row],[Precio Distribución]]</f>
        <v>-29</v>
      </c>
    </row>
    <row r="23" spans="2:8" x14ac:dyDescent="0.35">
      <c r="B23" t="s">
        <v>55</v>
      </c>
      <c r="C23">
        <v>2008</v>
      </c>
      <c r="D23" t="s">
        <v>79</v>
      </c>
      <c r="E23" s="1">
        <v>61</v>
      </c>
      <c r="F23" s="1">
        <v>31</v>
      </c>
      <c r="G23">
        <v>81</v>
      </c>
      <c r="H23">
        <f>Tabla6[[#This Row],[Precio Público]]-Tabla6[[#This Row],[Precio Distribución]]</f>
        <v>50</v>
      </c>
    </row>
    <row r="24" spans="2:8" x14ac:dyDescent="0.35">
      <c r="B24" t="s">
        <v>56</v>
      </c>
      <c r="C24">
        <v>2008</v>
      </c>
      <c r="D24" t="s">
        <v>80</v>
      </c>
      <c r="E24" s="1">
        <v>72</v>
      </c>
      <c r="F24" s="1">
        <v>62</v>
      </c>
      <c r="G24">
        <v>39</v>
      </c>
      <c r="H24">
        <f>Tabla6[[#This Row],[Precio Público]]-Tabla6[[#This Row],[Precio Distribución]]</f>
        <v>-23</v>
      </c>
    </row>
    <row r="25" spans="2:8" x14ac:dyDescent="0.35">
      <c r="B25" t="s">
        <v>57</v>
      </c>
      <c r="C25">
        <v>2008</v>
      </c>
      <c r="D25" t="s">
        <v>81</v>
      </c>
      <c r="E25" s="1">
        <v>63</v>
      </c>
      <c r="F25" s="1">
        <v>115</v>
      </c>
      <c r="G25">
        <v>30</v>
      </c>
      <c r="H25">
        <f>Tabla6[[#This Row],[Precio Público]]-Tabla6[[#This Row],[Precio Distribución]]</f>
        <v>-85</v>
      </c>
    </row>
    <row r="26" spans="2:8" x14ac:dyDescent="0.35">
      <c r="B26" t="s">
        <v>58</v>
      </c>
      <c r="C26">
        <v>2008</v>
      </c>
      <c r="D26" t="s">
        <v>77</v>
      </c>
      <c r="E26" s="1">
        <v>93</v>
      </c>
      <c r="F26" s="1">
        <v>28</v>
      </c>
      <c r="G26">
        <v>86</v>
      </c>
      <c r="H26">
        <f>Tabla6[[#This Row],[Precio Público]]-Tabla6[[#This Row],[Precio Distribución]]</f>
        <v>58</v>
      </c>
    </row>
    <row r="27" spans="2:8" x14ac:dyDescent="0.35">
      <c r="B27" t="s">
        <v>59</v>
      </c>
      <c r="C27">
        <v>2008</v>
      </c>
      <c r="D27" t="s">
        <v>78</v>
      </c>
      <c r="E27" s="1">
        <v>97</v>
      </c>
      <c r="F27" s="1">
        <v>123</v>
      </c>
      <c r="G27">
        <v>43</v>
      </c>
      <c r="H27">
        <f>Tabla6[[#This Row],[Precio Público]]-Tabla6[[#This Row],[Precio Distribución]]</f>
        <v>-80</v>
      </c>
    </row>
    <row r="28" spans="2:8" x14ac:dyDescent="0.35">
      <c r="B28" t="s">
        <v>60</v>
      </c>
      <c r="C28">
        <v>2008</v>
      </c>
      <c r="D28" t="s">
        <v>79</v>
      </c>
      <c r="E28" s="1">
        <v>88</v>
      </c>
      <c r="F28" s="1">
        <v>44</v>
      </c>
      <c r="G28">
        <v>89</v>
      </c>
      <c r="H28">
        <f>Tabla6[[#This Row],[Precio Público]]-Tabla6[[#This Row],[Precio Distribución]]</f>
        <v>45</v>
      </c>
    </row>
    <row r="29" spans="2:8" x14ac:dyDescent="0.35">
      <c r="B29" t="s">
        <v>61</v>
      </c>
      <c r="C29">
        <v>2008</v>
      </c>
      <c r="D29" t="s">
        <v>80</v>
      </c>
      <c r="E29" s="1">
        <v>21</v>
      </c>
      <c r="F29" s="1">
        <v>98</v>
      </c>
      <c r="G29">
        <v>62</v>
      </c>
      <c r="H29">
        <f>Tabla6[[#This Row],[Precio Público]]-Tabla6[[#This Row],[Precio Distribución]]</f>
        <v>-36</v>
      </c>
    </row>
    <row r="33" spans="2:7" x14ac:dyDescent="0.35">
      <c r="B33" s="38"/>
      <c r="C33" s="38"/>
      <c r="D33" s="38"/>
      <c r="E33" s="38"/>
      <c r="F33" s="38"/>
      <c r="G33" s="38"/>
    </row>
    <row r="34" spans="2:7" x14ac:dyDescent="0.35">
      <c r="E34" s="1"/>
      <c r="F34" s="1"/>
    </row>
    <row r="35" spans="2:7" x14ac:dyDescent="0.35">
      <c r="E35" s="1"/>
      <c r="F35" s="1"/>
    </row>
    <row r="36" spans="2:7" x14ac:dyDescent="0.35">
      <c r="E36" s="1"/>
      <c r="F36" s="1"/>
    </row>
    <row r="37" spans="2:7" x14ac:dyDescent="0.35">
      <c r="E37" s="1"/>
      <c r="F37" s="1"/>
    </row>
    <row r="38" spans="2:7" x14ac:dyDescent="0.35">
      <c r="E38" s="1"/>
      <c r="F38" s="1"/>
    </row>
    <row r="39" spans="2:7" x14ac:dyDescent="0.35">
      <c r="E39" s="1"/>
      <c r="F39" s="1"/>
    </row>
    <row r="40" spans="2:7" x14ac:dyDescent="0.35">
      <c r="E40" s="1"/>
      <c r="F40" s="1"/>
    </row>
    <row r="41" spans="2:7" x14ac:dyDescent="0.35">
      <c r="E41" s="1"/>
      <c r="F41" s="1"/>
    </row>
    <row r="42" spans="2:7" x14ac:dyDescent="0.35">
      <c r="E42" s="1"/>
      <c r="F42" s="1"/>
    </row>
    <row r="43" spans="2:7" x14ac:dyDescent="0.35">
      <c r="E43" s="1"/>
      <c r="F43" s="1"/>
    </row>
    <row r="44" spans="2:7" x14ac:dyDescent="0.35">
      <c r="E44" s="1"/>
      <c r="F44" s="1"/>
    </row>
    <row r="45" spans="2:7" x14ac:dyDescent="0.35">
      <c r="E45" s="1"/>
      <c r="F45" s="1"/>
    </row>
    <row r="46" spans="2:7" x14ac:dyDescent="0.35">
      <c r="E46" s="1"/>
      <c r="F46" s="1"/>
    </row>
    <row r="47" spans="2:7" x14ac:dyDescent="0.35">
      <c r="E47" s="1"/>
      <c r="F47" s="1"/>
    </row>
    <row r="48" spans="2:7" x14ac:dyDescent="0.35">
      <c r="E48" s="1"/>
      <c r="F48" s="1"/>
    </row>
    <row r="49" spans="5:6" x14ac:dyDescent="0.35">
      <c r="E49" s="1"/>
      <c r="F49" s="1"/>
    </row>
    <row r="50" spans="5:6" x14ac:dyDescent="0.35">
      <c r="E50" s="1"/>
      <c r="F50" s="1"/>
    </row>
    <row r="51" spans="5:6" x14ac:dyDescent="0.35">
      <c r="E51" s="1"/>
      <c r="F51" s="1"/>
    </row>
    <row r="52" spans="5:6" x14ac:dyDescent="0.35">
      <c r="E52" s="1"/>
      <c r="F52" s="1"/>
    </row>
    <row r="53" spans="5:6" x14ac:dyDescent="0.35">
      <c r="E53" s="1"/>
      <c r="F53" s="1"/>
    </row>
    <row r="54" spans="5:6" x14ac:dyDescent="0.35">
      <c r="E54" s="1"/>
      <c r="F54" s="1"/>
    </row>
    <row r="55" spans="5:6" x14ac:dyDescent="0.35">
      <c r="E55" s="1"/>
      <c r="F55" s="1"/>
    </row>
    <row r="56" spans="5:6" x14ac:dyDescent="0.35">
      <c r="E56" s="1"/>
      <c r="F56" s="1"/>
    </row>
    <row r="57" spans="5:6" x14ac:dyDescent="0.35">
      <c r="E57" s="1"/>
      <c r="F57" s="1"/>
    </row>
  </sheetData>
  <conditionalFormatting sqref="B34:G57">
    <cfRule type="expression" dxfId="10" priority="1">
      <formula>($G34-$F34)&lt;0</formula>
    </cfRule>
    <cfRule type="expression" dxfId="9" priority="3">
      <formula>($G34-$F34)=0</formula>
    </cfRule>
    <cfRule type="expression" dxfId="8" priority="4">
      <formula>($G34-$F34)&gt;0</formula>
    </cfRule>
  </conditionalFormatting>
  <conditionalFormatting sqref="G6">
    <cfRule type="iconSet" priority="17">
      <iconSet iconSet="3Arrows">
        <cfvo type="percent" val="0"/>
        <cfvo type="formula" val="$F$6"/>
        <cfvo type="formula" val="$F$6" gte="0"/>
      </iconSet>
    </cfRule>
  </conditionalFormatting>
  <conditionalFormatting sqref="G6:G29">
    <cfRule type="expression" dxfId="7" priority="2">
      <formula>(F6-G6)&gt;0</formula>
    </cfRule>
    <cfRule type="expression" dxfId="6" priority="12">
      <formula>(G6-F6)=0</formula>
    </cfRule>
    <cfRule type="expression" dxfId="5" priority="13">
      <formula>(G6-F6)&gt;0</formula>
    </cfRule>
  </conditionalFormatting>
  <conditionalFormatting sqref="G7">
    <cfRule type="iconSet" priority="16">
      <iconSet iconSet="3Arrows">
        <cfvo type="percent" val="0"/>
        <cfvo type="formula" val="$F$7"/>
        <cfvo type="formula" val="$F$7" gte="0"/>
      </iconSet>
    </cfRule>
  </conditionalFormatting>
  <conditionalFormatting sqref="G10">
    <cfRule type="iconSet" priority="15">
      <iconSet iconSet="3Arrows">
        <cfvo type="percent" val="0"/>
        <cfvo type="formula" val="$F$10"/>
        <cfvo type="formula" val="$F$10" gte="0"/>
      </iconSet>
    </cfRule>
  </conditionalFormatting>
  <conditionalFormatting sqref="G12">
    <cfRule type="iconSet" priority="14">
      <iconSet iconSet="3Arrows">
        <cfvo type="percent" val="0"/>
        <cfvo type="formula" val="$F$12"/>
        <cfvo type="formula" val="$F$12" gte="0"/>
      </iconSet>
    </cfRule>
  </conditionalFormatting>
  <conditionalFormatting sqref="H6:H29">
    <cfRule type="iconSet" priority="18">
      <iconSet iconSet="3Arrows" showValue="0">
        <cfvo type="percent" val="0"/>
        <cfvo type="num" val="0"/>
        <cfvo type="num" val="0" gte="0"/>
      </iconSet>
    </cfRule>
  </conditionalFormatting>
  <pageMargins left="0.7" right="0.7" top="0.75" bottom="0.75" header="0.3" footer="0.3"/>
  <drawing r:id="rId1"/>
  <tableParts count="2"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</sheetPr>
  <dimension ref="B2:E31"/>
  <sheetViews>
    <sheetView zoomScale="115" zoomScaleNormal="115" workbookViewId="0">
      <selection activeCell="L14" sqref="L14"/>
    </sheetView>
  </sheetViews>
  <sheetFormatPr defaultColWidth="11.453125" defaultRowHeight="14.5" x14ac:dyDescent="0.35"/>
  <cols>
    <col min="2" max="2" width="14.453125" customWidth="1"/>
  </cols>
  <sheetData>
    <row r="2" spans="2:5" ht="18.5" x14ac:dyDescent="0.45">
      <c r="B2" s="59" t="s">
        <v>169</v>
      </c>
      <c r="C2" s="56" t="s">
        <v>172</v>
      </c>
    </row>
    <row r="3" spans="2:5" ht="18.5" x14ac:dyDescent="0.45">
      <c r="B3" s="58"/>
      <c r="C3" s="56" t="s">
        <v>173</v>
      </c>
    </row>
    <row r="4" spans="2:5" ht="18.5" x14ac:dyDescent="0.45">
      <c r="B4" s="58"/>
      <c r="C4" s="56"/>
    </row>
    <row r="5" spans="2:5" ht="18.5" x14ac:dyDescent="0.45">
      <c r="B5" s="59" t="s">
        <v>170</v>
      </c>
      <c r="C5" s="56" t="s">
        <v>171</v>
      </c>
    </row>
    <row r="7" spans="2:5" x14ac:dyDescent="0.35">
      <c r="B7" s="55"/>
    </row>
    <row r="8" spans="2:5" x14ac:dyDescent="0.35">
      <c r="C8" s="2" t="s">
        <v>100</v>
      </c>
      <c r="D8" s="2" t="s">
        <v>107</v>
      </c>
      <c r="E8" s="2" t="s">
        <v>115</v>
      </c>
    </row>
    <row r="9" spans="2:5" x14ac:dyDescent="0.35">
      <c r="C9" s="2" t="s">
        <v>101</v>
      </c>
      <c r="D9" s="2" t="s">
        <v>108</v>
      </c>
      <c r="E9" s="2" t="s">
        <v>116</v>
      </c>
    </row>
    <row r="10" spans="2:5" x14ac:dyDescent="0.35">
      <c r="C10" s="2" t="s">
        <v>102</v>
      </c>
      <c r="D10" s="2" t="s">
        <v>109</v>
      </c>
      <c r="E10" t="s">
        <v>123</v>
      </c>
    </row>
    <row r="11" spans="2:5" x14ac:dyDescent="0.35">
      <c r="C11" s="2" t="s">
        <v>103</v>
      </c>
      <c r="D11" s="2" t="s">
        <v>110</v>
      </c>
      <c r="E11" s="2" t="s">
        <v>117</v>
      </c>
    </row>
    <row r="12" spans="2:5" x14ac:dyDescent="0.35">
      <c r="C12" s="2" t="s">
        <v>125</v>
      </c>
      <c r="D12" s="2" t="s">
        <v>111</v>
      </c>
      <c r="E12" s="2" t="s">
        <v>118</v>
      </c>
    </row>
    <row r="13" spans="2:5" x14ac:dyDescent="0.35">
      <c r="C13" s="2" t="s">
        <v>104</v>
      </c>
      <c r="D13" s="2" t="s">
        <v>100</v>
      </c>
      <c r="E13" s="2" t="s">
        <v>119</v>
      </c>
    </row>
    <row r="14" spans="2:5" x14ac:dyDescent="0.35">
      <c r="C14" s="2" t="s">
        <v>105</v>
      </c>
      <c r="D14" s="2" t="s">
        <v>112</v>
      </c>
      <c r="E14" s="2" t="s">
        <v>120</v>
      </c>
    </row>
    <row r="15" spans="2:5" x14ac:dyDescent="0.35">
      <c r="C15" s="2" t="s">
        <v>106</v>
      </c>
      <c r="D15" s="2" t="s">
        <v>113</v>
      </c>
      <c r="E15" s="2" t="s">
        <v>123</v>
      </c>
    </row>
    <row r="16" spans="2:5" x14ac:dyDescent="0.35">
      <c r="C16" s="2" t="s">
        <v>100</v>
      </c>
      <c r="D16" s="2" t="s">
        <v>114</v>
      </c>
      <c r="E16" s="2" t="s">
        <v>121</v>
      </c>
    </row>
    <row r="17" spans="3:5" x14ac:dyDescent="0.35">
      <c r="C17" s="2" t="s">
        <v>124</v>
      </c>
      <c r="D17" s="2" t="s">
        <v>103</v>
      </c>
      <c r="E17" s="2" t="s">
        <v>122</v>
      </c>
    </row>
    <row r="21" spans="3:5" x14ac:dyDescent="0.35">
      <c r="C21" s="2"/>
    </row>
    <row r="22" spans="3:5" x14ac:dyDescent="0.35">
      <c r="C22" s="2"/>
    </row>
    <row r="23" spans="3:5" x14ac:dyDescent="0.35">
      <c r="C23" s="2"/>
    </row>
    <row r="24" spans="3:5" x14ac:dyDescent="0.35">
      <c r="C24" s="2"/>
    </row>
    <row r="25" spans="3:5" x14ac:dyDescent="0.35">
      <c r="C25" s="2"/>
    </row>
    <row r="26" spans="3:5" x14ac:dyDescent="0.35">
      <c r="C26" s="2"/>
    </row>
    <row r="27" spans="3:5" x14ac:dyDescent="0.35">
      <c r="C27" s="2"/>
    </row>
    <row r="28" spans="3:5" x14ac:dyDescent="0.35">
      <c r="C28" s="2"/>
    </row>
    <row r="29" spans="3:5" x14ac:dyDescent="0.35">
      <c r="C29" s="2"/>
    </row>
    <row r="30" spans="3:5" x14ac:dyDescent="0.35">
      <c r="C30" s="2"/>
    </row>
    <row r="31" spans="3:5" x14ac:dyDescent="0.35">
      <c r="C31" s="2"/>
    </row>
  </sheetData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70C0"/>
  </sheetPr>
  <dimension ref="B2:E31"/>
  <sheetViews>
    <sheetView zoomScale="115" zoomScaleNormal="115" workbookViewId="0">
      <selection activeCell="B2" sqref="B2:C5"/>
    </sheetView>
  </sheetViews>
  <sheetFormatPr defaultColWidth="11.453125" defaultRowHeight="14.5" x14ac:dyDescent="0.35"/>
  <cols>
    <col min="2" max="2" width="14.453125" customWidth="1"/>
  </cols>
  <sheetData>
    <row r="2" spans="2:5" ht="18.5" x14ac:dyDescent="0.45">
      <c r="B2" s="59" t="s">
        <v>169</v>
      </c>
      <c r="C2" s="56" t="s">
        <v>172</v>
      </c>
    </row>
    <row r="3" spans="2:5" ht="18.5" x14ac:dyDescent="0.45">
      <c r="B3" s="58"/>
      <c r="C3" s="56" t="s">
        <v>173</v>
      </c>
    </row>
    <row r="4" spans="2:5" ht="18.5" x14ac:dyDescent="0.45">
      <c r="B4" s="58"/>
    </row>
    <row r="5" spans="2:5" ht="18.5" x14ac:dyDescent="0.45">
      <c r="B5" s="59" t="s">
        <v>170</v>
      </c>
      <c r="C5" s="56" t="s">
        <v>171</v>
      </c>
    </row>
    <row r="7" spans="2:5" x14ac:dyDescent="0.35">
      <c r="B7" s="55"/>
    </row>
    <row r="8" spans="2:5" x14ac:dyDescent="0.35">
      <c r="C8" s="2" t="s">
        <v>100</v>
      </c>
      <c r="D8" s="2" t="s">
        <v>107</v>
      </c>
      <c r="E8" s="2" t="s">
        <v>115</v>
      </c>
    </row>
    <row r="9" spans="2:5" x14ac:dyDescent="0.35">
      <c r="C9" s="2" t="s">
        <v>101</v>
      </c>
      <c r="D9" s="2" t="s">
        <v>108</v>
      </c>
      <c r="E9" s="2" t="s">
        <v>116</v>
      </c>
    </row>
    <row r="10" spans="2:5" x14ac:dyDescent="0.35">
      <c r="C10" s="2" t="s">
        <v>102</v>
      </c>
      <c r="D10" s="2" t="s">
        <v>109</v>
      </c>
      <c r="E10" t="s">
        <v>123</v>
      </c>
    </row>
    <row r="11" spans="2:5" x14ac:dyDescent="0.35">
      <c r="C11" s="2" t="s">
        <v>103</v>
      </c>
      <c r="D11" s="2" t="s">
        <v>110</v>
      </c>
      <c r="E11" s="2" t="s">
        <v>117</v>
      </c>
    </row>
    <row r="12" spans="2:5" x14ac:dyDescent="0.35">
      <c r="C12" s="2" t="s">
        <v>125</v>
      </c>
      <c r="D12" s="2" t="s">
        <v>111</v>
      </c>
      <c r="E12" s="2" t="s">
        <v>118</v>
      </c>
    </row>
    <row r="13" spans="2:5" x14ac:dyDescent="0.35">
      <c r="C13" s="2" t="s">
        <v>104</v>
      </c>
      <c r="D13" s="2" t="s">
        <v>100</v>
      </c>
      <c r="E13" s="2" t="s">
        <v>119</v>
      </c>
    </row>
    <row r="14" spans="2:5" x14ac:dyDescent="0.35">
      <c r="C14" s="2" t="s">
        <v>105</v>
      </c>
      <c r="D14" s="2" t="s">
        <v>112</v>
      </c>
      <c r="E14" s="2" t="s">
        <v>120</v>
      </c>
    </row>
    <row r="15" spans="2:5" x14ac:dyDescent="0.35">
      <c r="C15" s="2" t="s">
        <v>106</v>
      </c>
      <c r="D15" s="2" t="s">
        <v>113</v>
      </c>
      <c r="E15" s="2" t="s">
        <v>123</v>
      </c>
    </row>
    <row r="16" spans="2:5" x14ac:dyDescent="0.35">
      <c r="C16" s="2" t="s">
        <v>100</v>
      </c>
      <c r="D16" s="2" t="s">
        <v>114</v>
      </c>
      <c r="E16" s="2" t="s">
        <v>121</v>
      </c>
    </row>
    <row r="17" spans="3:5" x14ac:dyDescent="0.35">
      <c r="C17" s="2" t="s">
        <v>124</v>
      </c>
      <c r="D17" s="2" t="s">
        <v>103</v>
      </c>
      <c r="E17" s="2" t="s">
        <v>122</v>
      </c>
    </row>
    <row r="21" spans="3:5" x14ac:dyDescent="0.35">
      <c r="C21" s="2"/>
    </row>
    <row r="22" spans="3:5" x14ac:dyDescent="0.35">
      <c r="C22" s="2"/>
    </row>
    <row r="23" spans="3:5" x14ac:dyDescent="0.35">
      <c r="C23" s="2"/>
    </row>
    <row r="24" spans="3:5" x14ac:dyDescent="0.35">
      <c r="C24" s="2"/>
    </row>
    <row r="25" spans="3:5" x14ac:dyDescent="0.35">
      <c r="C25" s="2"/>
    </row>
    <row r="26" spans="3:5" x14ac:dyDescent="0.35">
      <c r="C26" s="2"/>
    </row>
    <row r="27" spans="3:5" x14ac:dyDescent="0.35">
      <c r="C27" s="2"/>
    </row>
    <row r="28" spans="3:5" x14ac:dyDescent="0.35">
      <c r="C28" s="2"/>
    </row>
    <row r="29" spans="3:5" x14ac:dyDescent="0.35">
      <c r="C29" s="2"/>
    </row>
    <row r="30" spans="3:5" x14ac:dyDescent="0.35">
      <c r="C30" s="2"/>
    </row>
    <row r="31" spans="3:5" x14ac:dyDescent="0.35">
      <c r="C31" s="2"/>
    </row>
  </sheetData>
  <conditionalFormatting sqref="C8:E17">
    <cfRule type="duplicateValues" dxfId="4" priority="1"/>
  </conditionalFormatting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C000"/>
  </sheetPr>
  <dimension ref="B2:F17"/>
  <sheetViews>
    <sheetView zoomScale="130" zoomScaleNormal="130" workbookViewId="0">
      <selection activeCell="H13" sqref="H13"/>
    </sheetView>
  </sheetViews>
  <sheetFormatPr defaultColWidth="11.453125" defaultRowHeight="14.5" x14ac:dyDescent="0.35"/>
  <cols>
    <col min="2" max="2" width="16.453125" customWidth="1"/>
    <col min="5" max="5" width="15.81640625" customWidth="1"/>
  </cols>
  <sheetData>
    <row r="2" spans="2:5" ht="18.5" x14ac:dyDescent="0.45">
      <c r="B2" s="59" t="s">
        <v>169</v>
      </c>
      <c r="C2" s="56" t="s">
        <v>178</v>
      </c>
    </row>
    <row r="3" spans="2:5" ht="18.5" x14ac:dyDescent="0.45">
      <c r="B3" s="58"/>
    </row>
    <row r="4" spans="2:5" ht="18.5" x14ac:dyDescent="0.45">
      <c r="B4" s="59" t="s">
        <v>170</v>
      </c>
      <c r="C4" s="56" t="s">
        <v>171</v>
      </c>
    </row>
    <row r="5" spans="2:5" ht="18.5" x14ac:dyDescent="0.45">
      <c r="B5" s="60"/>
      <c r="C5" s="56"/>
    </row>
    <row r="6" spans="2:5" ht="18.5" x14ac:dyDescent="0.45">
      <c r="B6" s="60"/>
      <c r="C6" s="56"/>
    </row>
    <row r="7" spans="2:5" x14ac:dyDescent="0.35">
      <c r="B7">
        <v>81</v>
      </c>
      <c r="E7" s="57" t="s">
        <v>128</v>
      </c>
    </row>
    <row r="8" spans="2:5" x14ac:dyDescent="0.35">
      <c r="B8">
        <v>6</v>
      </c>
      <c r="E8" s="62" t="s">
        <v>126</v>
      </c>
    </row>
    <row r="9" spans="2:5" x14ac:dyDescent="0.35">
      <c r="B9">
        <v>39</v>
      </c>
      <c r="E9" s="63" t="s">
        <v>127</v>
      </c>
    </row>
    <row r="10" spans="2:5" x14ac:dyDescent="0.35">
      <c r="B10">
        <v>43</v>
      </c>
    </row>
    <row r="11" spans="2:5" x14ac:dyDescent="0.35">
      <c r="B11">
        <v>2</v>
      </c>
    </row>
    <row r="12" spans="2:5" x14ac:dyDescent="0.35">
      <c r="B12">
        <v>95</v>
      </c>
    </row>
    <row r="13" spans="2:5" x14ac:dyDescent="0.35">
      <c r="B13">
        <v>5</v>
      </c>
    </row>
    <row r="14" spans="2:5" x14ac:dyDescent="0.35">
      <c r="B14">
        <v>11</v>
      </c>
    </row>
    <row r="15" spans="2:5" x14ac:dyDescent="0.35">
      <c r="B15">
        <v>86</v>
      </c>
    </row>
    <row r="16" spans="2:5" x14ac:dyDescent="0.35">
      <c r="B16">
        <v>57</v>
      </c>
    </row>
    <row r="17" spans="6:6" x14ac:dyDescent="0.35">
      <c r="F17" s="5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C000"/>
  </sheetPr>
  <dimension ref="B2:F17"/>
  <sheetViews>
    <sheetView zoomScale="130" zoomScaleNormal="130" workbookViewId="0">
      <selection activeCell="E14" sqref="E14"/>
    </sheetView>
  </sheetViews>
  <sheetFormatPr defaultColWidth="11.453125" defaultRowHeight="14.5" x14ac:dyDescent="0.35"/>
  <cols>
    <col min="2" max="2" width="16.453125" customWidth="1"/>
    <col min="5" max="5" width="15.81640625" customWidth="1"/>
  </cols>
  <sheetData>
    <row r="2" spans="2:5" ht="18.5" x14ac:dyDescent="0.45">
      <c r="B2" s="59" t="s">
        <v>169</v>
      </c>
      <c r="C2" s="56" t="s">
        <v>178</v>
      </c>
    </row>
    <row r="3" spans="2:5" ht="18.5" x14ac:dyDescent="0.45">
      <c r="B3" s="58"/>
    </row>
    <row r="4" spans="2:5" ht="18.5" x14ac:dyDescent="0.45">
      <c r="B4" s="59" t="s">
        <v>170</v>
      </c>
      <c r="C4" s="56" t="s">
        <v>179</v>
      </c>
    </row>
    <row r="5" spans="2:5" ht="18.5" x14ac:dyDescent="0.45">
      <c r="B5" s="60"/>
      <c r="C5" s="56"/>
    </row>
    <row r="6" spans="2:5" ht="18.5" x14ac:dyDescent="0.45">
      <c r="B6" s="60"/>
      <c r="C6" s="56"/>
    </row>
    <row r="7" spans="2:5" x14ac:dyDescent="0.35">
      <c r="B7">
        <v>81</v>
      </c>
      <c r="E7" s="57" t="s">
        <v>128</v>
      </c>
    </row>
    <row r="8" spans="2:5" x14ac:dyDescent="0.35">
      <c r="B8">
        <v>6</v>
      </c>
      <c r="E8" s="62" t="s">
        <v>126</v>
      </c>
    </row>
    <row r="9" spans="2:5" x14ac:dyDescent="0.35">
      <c r="B9">
        <v>39</v>
      </c>
      <c r="E9" s="63" t="s">
        <v>127</v>
      </c>
    </row>
    <row r="10" spans="2:5" x14ac:dyDescent="0.35">
      <c r="B10">
        <v>43</v>
      </c>
    </row>
    <row r="11" spans="2:5" x14ac:dyDescent="0.35">
      <c r="B11">
        <v>2</v>
      </c>
    </row>
    <row r="12" spans="2:5" x14ac:dyDescent="0.35">
      <c r="B12">
        <v>95</v>
      </c>
    </row>
    <row r="13" spans="2:5" x14ac:dyDescent="0.35">
      <c r="B13">
        <v>5</v>
      </c>
    </row>
    <row r="14" spans="2:5" x14ac:dyDescent="0.35">
      <c r="B14">
        <v>11</v>
      </c>
    </row>
    <row r="15" spans="2:5" x14ac:dyDescent="0.35">
      <c r="B15">
        <v>86</v>
      </c>
    </row>
    <row r="16" spans="2:5" x14ac:dyDescent="0.35">
      <c r="B16">
        <v>57</v>
      </c>
    </row>
    <row r="17" spans="6:6" x14ac:dyDescent="0.35">
      <c r="F17" s="54"/>
    </row>
  </sheetData>
  <conditionalFormatting sqref="B7:B16">
    <cfRule type="expression" dxfId="3" priority="1">
      <formula>B7&gt;80</formula>
    </cfRule>
    <cfRule type="expression" dxfId="2" priority="2">
      <formula>B7=MAX($B$7:$B$16)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C000"/>
  </sheetPr>
  <dimension ref="B2:V17"/>
  <sheetViews>
    <sheetView zoomScale="160" zoomScaleNormal="160" workbookViewId="0">
      <selection activeCell="L30" sqref="L30"/>
    </sheetView>
  </sheetViews>
  <sheetFormatPr defaultColWidth="11.453125" defaultRowHeight="14.5" x14ac:dyDescent="0.35"/>
  <cols>
    <col min="2" max="2" width="17" customWidth="1"/>
    <col min="3" max="3" width="14.26953125" customWidth="1"/>
    <col min="4" max="15" width="11.453125" style="1"/>
    <col min="16" max="16" width="3.26953125" style="1" customWidth="1"/>
    <col min="17" max="17" width="22.81640625" style="1" customWidth="1"/>
    <col min="18" max="22" width="11.453125" style="1"/>
  </cols>
  <sheetData>
    <row r="2" spans="2:21" ht="18.5" x14ac:dyDescent="0.45">
      <c r="B2" s="59" t="s">
        <v>169</v>
      </c>
      <c r="C2" s="56" t="s">
        <v>176</v>
      </c>
      <c r="D2"/>
      <c r="E2"/>
      <c r="F2"/>
      <c r="G2"/>
      <c r="H2"/>
      <c r="I2"/>
      <c r="J2"/>
      <c r="K2"/>
      <c r="L2"/>
    </row>
    <row r="3" spans="2:21" ht="18.5" x14ac:dyDescent="0.45">
      <c r="B3" s="58"/>
      <c r="D3"/>
      <c r="E3"/>
      <c r="F3"/>
      <c r="G3"/>
      <c r="H3"/>
      <c r="I3"/>
      <c r="J3"/>
      <c r="K3"/>
      <c r="L3"/>
    </row>
    <row r="4" spans="2:21" ht="18.5" x14ac:dyDescent="0.35">
      <c r="B4" s="61" t="s">
        <v>170</v>
      </c>
      <c r="C4" s="78" t="s">
        <v>177</v>
      </c>
      <c r="D4" s="78"/>
      <c r="E4" s="78"/>
      <c r="F4" s="78"/>
      <c r="G4" s="78"/>
      <c r="H4" s="78"/>
      <c r="I4" s="78"/>
      <c r="J4" s="78"/>
      <c r="K4" s="78"/>
      <c r="L4" s="78"/>
    </row>
    <row r="7" spans="2:21" x14ac:dyDescent="0.35">
      <c r="C7" s="44"/>
      <c r="D7" s="1" t="s">
        <v>151</v>
      </c>
      <c r="E7" s="1" t="s">
        <v>152</v>
      </c>
      <c r="F7" s="1" t="s">
        <v>155</v>
      </c>
      <c r="G7" s="1" t="s">
        <v>156</v>
      </c>
      <c r="H7" s="1" t="s">
        <v>157</v>
      </c>
      <c r="I7" s="1" t="s">
        <v>158</v>
      </c>
      <c r="J7" s="1" t="s">
        <v>159</v>
      </c>
      <c r="K7" s="1" t="s">
        <v>160</v>
      </c>
      <c r="L7" s="1" t="s">
        <v>161</v>
      </c>
      <c r="M7" s="1" t="s">
        <v>162</v>
      </c>
      <c r="N7" s="1" t="s">
        <v>118</v>
      </c>
      <c r="O7" s="1" t="s">
        <v>163</v>
      </c>
      <c r="S7"/>
      <c r="T7"/>
      <c r="U7"/>
    </row>
    <row r="8" spans="2:21" ht="33" customHeight="1" x14ac:dyDescent="0.35">
      <c r="C8" s="45" t="s">
        <v>153</v>
      </c>
      <c r="D8" s="46">
        <v>30</v>
      </c>
      <c r="E8" s="46">
        <v>23</v>
      </c>
      <c r="F8" s="46">
        <v>18</v>
      </c>
      <c r="G8" s="46">
        <v>35</v>
      </c>
      <c r="H8" s="46">
        <v>48</v>
      </c>
      <c r="I8" s="46">
        <v>55</v>
      </c>
      <c r="J8" s="46">
        <v>63</v>
      </c>
      <c r="K8" s="46">
        <v>5</v>
      </c>
      <c r="L8" s="46">
        <v>20</v>
      </c>
      <c r="M8" s="46">
        <v>45</v>
      </c>
      <c r="N8" s="46">
        <v>68</v>
      </c>
      <c r="O8" s="46">
        <v>115</v>
      </c>
      <c r="S8"/>
      <c r="T8"/>
      <c r="U8"/>
    </row>
    <row r="9" spans="2:21" ht="31.5" customHeight="1" x14ac:dyDescent="0.35">
      <c r="C9" s="45" t="s">
        <v>154</v>
      </c>
      <c r="D9" s="46">
        <f>O8</f>
        <v>115</v>
      </c>
      <c r="E9" s="46">
        <f>N8</f>
        <v>68</v>
      </c>
      <c r="F9" s="46">
        <f>M8</f>
        <v>45</v>
      </c>
      <c r="G9" s="46">
        <f>L8</f>
        <v>20</v>
      </c>
      <c r="H9" s="46">
        <f>K8</f>
        <v>5</v>
      </c>
      <c r="I9" s="46">
        <f>J8</f>
        <v>63</v>
      </c>
      <c r="J9" s="46">
        <f>I8</f>
        <v>55</v>
      </c>
      <c r="K9" s="46">
        <f>H8</f>
        <v>48</v>
      </c>
      <c r="L9" s="46">
        <f>G8</f>
        <v>35</v>
      </c>
      <c r="M9" s="46">
        <f>F8</f>
        <v>18</v>
      </c>
      <c r="N9" s="46">
        <f>E8</f>
        <v>23</v>
      </c>
      <c r="O9" s="46">
        <f>D8</f>
        <v>30</v>
      </c>
      <c r="S9"/>
      <c r="T9"/>
      <c r="U9"/>
    </row>
    <row r="10" spans="2:21" ht="30.75" customHeight="1" x14ac:dyDescent="0.35">
      <c r="C10" s="45" t="s">
        <v>86</v>
      </c>
      <c r="D10" s="22">
        <f>D9-D8</f>
        <v>85</v>
      </c>
      <c r="E10" s="22">
        <f t="shared" ref="E10:O10" si="0">E9-E8</f>
        <v>45</v>
      </c>
      <c r="F10" s="22">
        <f t="shared" si="0"/>
        <v>27</v>
      </c>
      <c r="G10" s="22">
        <f t="shared" si="0"/>
        <v>-15</v>
      </c>
      <c r="H10" s="22">
        <f t="shared" si="0"/>
        <v>-43</v>
      </c>
      <c r="I10" s="22">
        <f t="shared" si="0"/>
        <v>8</v>
      </c>
      <c r="J10" s="22">
        <f t="shared" si="0"/>
        <v>-8</v>
      </c>
      <c r="K10" s="22">
        <f t="shared" si="0"/>
        <v>43</v>
      </c>
      <c r="L10" s="22">
        <f t="shared" si="0"/>
        <v>15</v>
      </c>
      <c r="M10" s="22">
        <f t="shared" si="0"/>
        <v>-27</v>
      </c>
      <c r="N10" s="22">
        <f t="shared" si="0"/>
        <v>-45</v>
      </c>
      <c r="O10" s="22">
        <f t="shared" si="0"/>
        <v>-85</v>
      </c>
      <c r="S10"/>
      <c r="T10"/>
      <c r="U10"/>
    </row>
    <row r="12" spans="2:21" x14ac:dyDescent="0.35">
      <c r="S12"/>
      <c r="T12"/>
      <c r="U12"/>
    </row>
    <row r="13" spans="2:21" x14ac:dyDescent="0.35">
      <c r="S13"/>
      <c r="T13"/>
      <c r="U13"/>
    </row>
    <row r="14" spans="2:21" x14ac:dyDescent="0.35">
      <c r="E14" s="69"/>
      <c r="F14" s="70"/>
      <c r="G14" s="71"/>
      <c r="I14" s="69"/>
      <c r="J14" s="70"/>
      <c r="K14" s="71"/>
      <c r="S14"/>
      <c r="T14"/>
      <c r="U14"/>
    </row>
    <row r="15" spans="2:21" x14ac:dyDescent="0.35">
      <c r="E15" s="72"/>
      <c r="F15" s="73"/>
      <c r="G15" s="74"/>
      <c r="I15" s="72"/>
      <c r="J15" s="73"/>
      <c r="K15" s="74"/>
      <c r="S15"/>
      <c r="T15"/>
      <c r="U15"/>
    </row>
    <row r="16" spans="2:21" x14ac:dyDescent="0.35">
      <c r="E16" s="72"/>
      <c r="F16" s="73"/>
      <c r="G16" s="74"/>
      <c r="I16" s="72"/>
      <c r="J16" s="73"/>
      <c r="K16" s="74"/>
    </row>
    <row r="17" spans="5:11" x14ac:dyDescent="0.35">
      <c r="E17" s="75"/>
      <c r="F17" s="76"/>
      <c r="G17" s="77"/>
      <c r="I17" s="75"/>
      <c r="J17" s="76"/>
      <c r="K17" s="77"/>
    </row>
  </sheetData>
  <mergeCells count="3">
    <mergeCell ref="E14:G17"/>
    <mergeCell ref="I14:K17"/>
    <mergeCell ref="C4:L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5"/>
  </sheetPr>
  <dimension ref="B2:L26"/>
  <sheetViews>
    <sheetView zoomScale="160" zoomScaleNormal="160" workbookViewId="0">
      <selection activeCell="L25" sqref="L25"/>
    </sheetView>
  </sheetViews>
  <sheetFormatPr defaultColWidth="11.453125" defaultRowHeight="14.5" x14ac:dyDescent="0.35"/>
  <cols>
    <col min="2" max="2" width="26" customWidth="1"/>
    <col min="3" max="3" width="7" customWidth="1"/>
    <col min="4" max="4" width="12.453125" customWidth="1"/>
  </cols>
  <sheetData>
    <row r="2" spans="2:12" ht="18.5" x14ac:dyDescent="0.45">
      <c r="B2" s="59" t="s">
        <v>169</v>
      </c>
      <c r="C2" s="56" t="s">
        <v>174</v>
      </c>
    </row>
    <row r="3" spans="2:12" ht="18.5" x14ac:dyDescent="0.45">
      <c r="B3" s="58"/>
    </row>
    <row r="4" spans="2:12" ht="50.25" customHeight="1" x14ac:dyDescent="0.35">
      <c r="B4" s="61" t="s">
        <v>170</v>
      </c>
      <c r="C4" s="78" t="s">
        <v>175</v>
      </c>
      <c r="D4" s="78"/>
      <c r="E4" s="78"/>
      <c r="F4" s="78"/>
      <c r="G4" s="78"/>
      <c r="H4" s="78"/>
      <c r="I4" s="78"/>
      <c r="J4" s="78"/>
      <c r="K4" s="78"/>
      <c r="L4" s="78"/>
    </row>
    <row r="10" spans="2:12" x14ac:dyDescent="0.35">
      <c r="B10" s="2" t="s">
        <v>129</v>
      </c>
      <c r="D10" t="b">
        <v>1</v>
      </c>
    </row>
    <row r="11" spans="2:12" x14ac:dyDescent="0.35">
      <c r="B11" s="2" t="s">
        <v>130</v>
      </c>
      <c r="D11" t="b">
        <v>1</v>
      </c>
    </row>
    <row r="12" spans="2:12" x14ac:dyDescent="0.35">
      <c r="B12" s="2" t="s">
        <v>131</v>
      </c>
      <c r="D12" t="b">
        <v>1</v>
      </c>
    </row>
    <row r="13" spans="2:12" x14ac:dyDescent="0.35">
      <c r="B13" s="2" t="s">
        <v>132</v>
      </c>
      <c r="D13" t="b">
        <v>1</v>
      </c>
    </row>
    <row r="14" spans="2:12" x14ac:dyDescent="0.35">
      <c r="B14" s="2" t="s">
        <v>133</v>
      </c>
      <c r="D14" t="b">
        <v>0</v>
      </c>
    </row>
    <row r="15" spans="2:12" x14ac:dyDescent="0.35">
      <c r="B15" s="2" t="s">
        <v>134</v>
      </c>
      <c r="D15" t="b">
        <v>1</v>
      </c>
    </row>
    <row r="16" spans="2:12" x14ac:dyDescent="0.35">
      <c r="B16" s="2" t="s">
        <v>135</v>
      </c>
      <c r="D16" t="b">
        <v>1</v>
      </c>
    </row>
    <row r="17" spans="2:4" x14ac:dyDescent="0.35">
      <c r="B17" s="2" t="s">
        <v>136</v>
      </c>
      <c r="D17" t="b">
        <v>1</v>
      </c>
    </row>
    <row r="18" spans="2:4" x14ac:dyDescent="0.35">
      <c r="B18" s="2" t="s">
        <v>137</v>
      </c>
      <c r="D18" t="b">
        <v>1</v>
      </c>
    </row>
    <row r="19" spans="2:4" x14ac:dyDescent="0.35">
      <c r="B19" s="2" t="s">
        <v>138</v>
      </c>
      <c r="D19" t="b">
        <v>1</v>
      </c>
    </row>
    <row r="22" spans="2:4" x14ac:dyDescent="0.35">
      <c r="B22" s="2" t="s">
        <v>139</v>
      </c>
    </row>
    <row r="23" spans="2:4" x14ac:dyDescent="0.35">
      <c r="B23" s="2" t="s">
        <v>140</v>
      </c>
    </row>
    <row r="26" spans="2:4" x14ac:dyDescent="0.35">
      <c r="B26" s="2" t="s">
        <v>141</v>
      </c>
      <c r="C26" s="1"/>
    </row>
  </sheetData>
  <mergeCells count="1">
    <mergeCell ref="C4:L4"/>
  </mergeCells>
  <pageMargins left="0.7" right="0.7" top="0.75" bottom="0.75" header="0.3" footer="0.3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985" r:id="rId4" name="Check Box 1">
              <controlPr defaultSize="0" autoFill="0" autoLine="0" autoPict="0">
                <anchor moveWithCells="1">
                  <from>
                    <xdr:col>2</xdr:col>
                    <xdr:colOff>31750</xdr:colOff>
                    <xdr:row>8</xdr:row>
                    <xdr:rowOff>152400</xdr:rowOff>
                  </from>
                  <to>
                    <xdr:col>2</xdr:col>
                    <xdr:colOff>457200</xdr:colOff>
                    <xdr:row>10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86" r:id="rId5" name="Check Box 2">
              <controlPr defaultSize="0" autoFill="0" autoLine="0" autoPict="0">
                <anchor moveWithCells="1">
                  <from>
                    <xdr:col>2</xdr:col>
                    <xdr:colOff>38100</xdr:colOff>
                    <xdr:row>9</xdr:row>
                    <xdr:rowOff>171450</xdr:rowOff>
                  </from>
                  <to>
                    <xdr:col>3</xdr:col>
                    <xdr:colOff>0</xdr:colOff>
                    <xdr:row>11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87" r:id="rId6" name="Check Box 3">
              <controlPr defaultSize="0" autoFill="0" autoLine="0" autoPict="0">
                <anchor moveWithCells="1">
                  <from>
                    <xdr:col>2</xdr:col>
                    <xdr:colOff>38100</xdr:colOff>
                    <xdr:row>10</xdr:row>
                    <xdr:rowOff>165100</xdr:rowOff>
                  </from>
                  <to>
                    <xdr:col>3</xdr:col>
                    <xdr:colOff>0</xdr:colOff>
                    <xdr:row>12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88" r:id="rId7" name="Check Box 4">
              <controlPr defaultSize="0" autoFill="0" autoLine="0" autoPict="0">
                <anchor moveWithCells="1">
                  <from>
                    <xdr:col>2</xdr:col>
                    <xdr:colOff>38100</xdr:colOff>
                    <xdr:row>11</xdr:row>
                    <xdr:rowOff>171450</xdr:rowOff>
                  </from>
                  <to>
                    <xdr:col>3</xdr:col>
                    <xdr:colOff>0</xdr:colOff>
                    <xdr:row>13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89" r:id="rId8" name="Check Box 5">
              <controlPr defaultSize="0" autoFill="0" autoLine="0" autoPict="0">
                <anchor moveWithCells="1">
                  <from>
                    <xdr:col>2</xdr:col>
                    <xdr:colOff>38100</xdr:colOff>
                    <xdr:row>12</xdr:row>
                    <xdr:rowOff>165100</xdr:rowOff>
                  </from>
                  <to>
                    <xdr:col>3</xdr:col>
                    <xdr:colOff>0</xdr:colOff>
                    <xdr:row>14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90" r:id="rId9" name="Check Box 6">
              <controlPr defaultSize="0" autoFill="0" autoLine="0" autoPict="0">
                <anchor moveWithCells="1">
                  <from>
                    <xdr:col>2</xdr:col>
                    <xdr:colOff>50800</xdr:colOff>
                    <xdr:row>13</xdr:row>
                    <xdr:rowOff>171450</xdr:rowOff>
                  </from>
                  <to>
                    <xdr:col>3</xdr:col>
                    <xdr:colOff>12700</xdr:colOff>
                    <xdr:row>15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91" r:id="rId10" name="Check Box 7">
              <controlPr defaultSize="0" autoFill="0" autoLine="0" autoPict="0">
                <anchor moveWithCells="1">
                  <from>
                    <xdr:col>2</xdr:col>
                    <xdr:colOff>50800</xdr:colOff>
                    <xdr:row>14</xdr:row>
                    <xdr:rowOff>171450</xdr:rowOff>
                  </from>
                  <to>
                    <xdr:col>3</xdr:col>
                    <xdr:colOff>12700</xdr:colOff>
                    <xdr:row>16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92" r:id="rId11" name="Check Box 8">
              <controlPr defaultSize="0" autoFill="0" autoLine="0" autoPict="0">
                <anchor moveWithCells="1">
                  <from>
                    <xdr:col>2</xdr:col>
                    <xdr:colOff>50800</xdr:colOff>
                    <xdr:row>15</xdr:row>
                    <xdr:rowOff>171450</xdr:rowOff>
                  </from>
                  <to>
                    <xdr:col>3</xdr:col>
                    <xdr:colOff>12700</xdr:colOff>
                    <xdr:row>17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93" r:id="rId12" name="Check Box 9">
              <controlPr defaultSize="0" autoFill="0" autoLine="0" autoPict="0">
                <anchor moveWithCells="1">
                  <from>
                    <xdr:col>2</xdr:col>
                    <xdr:colOff>50800</xdr:colOff>
                    <xdr:row>16</xdr:row>
                    <xdr:rowOff>165100</xdr:rowOff>
                  </from>
                  <to>
                    <xdr:col>3</xdr:col>
                    <xdr:colOff>12700</xdr:colOff>
                    <xdr:row>18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94" r:id="rId13" name="Check Box 10">
              <controlPr defaultSize="0" autoFill="0" autoLine="0" autoPict="0">
                <anchor moveWithCells="1">
                  <from>
                    <xdr:col>2</xdr:col>
                    <xdr:colOff>50800</xdr:colOff>
                    <xdr:row>17</xdr:row>
                    <xdr:rowOff>171450</xdr:rowOff>
                  </from>
                  <to>
                    <xdr:col>3</xdr:col>
                    <xdr:colOff>12700</xdr:colOff>
                    <xdr:row>19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70C0"/>
  </sheetPr>
  <dimension ref="B2:L26"/>
  <sheetViews>
    <sheetView zoomScale="190" zoomScaleNormal="190" workbookViewId="0">
      <selection activeCell="I15" sqref="I15"/>
    </sheetView>
  </sheetViews>
  <sheetFormatPr defaultColWidth="11.453125" defaultRowHeight="14.5" x14ac:dyDescent="0.35"/>
  <cols>
    <col min="2" max="2" width="26" bestFit="1" customWidth="1"/>
    <col min="3" max="3" width="7" customWidth="1"/>
    <col min="4" max="4" width="12.453125" customWidth="1"/>
  </cols>
  <sheetData>
    <row r="2" spans="2:12" ht="18.5" x14ac:dyDescent="0.45">
      <c r="B2" s="59" t="s">
        <v>169</v>
      </c>
      <c r="C2" s="56" t="s">
        <v>174</v>
      </c>
    </row>
    <row r="3" spans="2:12" ht="18.5" x14ac:dyDescent="0.45">
      <c r="B3" s="58"/>
    </row>
    <row r="4" spans="2:12" ht="50.25" customHeight="1" x14ac:dyDescent="0.35">
      <c r="B4" s="61" t="s">
        <v>170</v>
      </c>
      <c r="C4" s="78" t="s">
        <v>175</v>
      </c>
      <c r="D4" s="78"/>
      <c r="E4" s="78"/>
      <c r="F4" s="78"/>
      <c r="G4" s="78"/>
      <c r="H4" s="78"/>
      <c r="I4" s="78"/>
      <c r="J4" s="78"/>
      <c r="K4" s="78"/>
      <c r="L4" s="78"/>
    </row>
    <row r="10" spans="2:12" x14ac:dyDescent="0.35">
      <c r="B10" s="2" t="s">
        <v>129</v>
      </c>
      <c r="D10" t="b">
        <v>1</v>
      </c>
    </row>
    <row r="11" spans="2:12" x14ac:dyDescent="0.35">
      <c r="B11" s="2" t="s">
        <v>130</v>
      </c>
      <c r="D11" t="b">
        <v>1</v>
      </c>
    </row>
    <row r="12" spans="2:12" x14ac:dyDescent="0.35">
      <c r="B12" s="2" t="s">
        <v>131</v>
      </c>
      <c r="D12" t="b">
        <v>1</v>
      </c>
    </row>
    <row r="13" spans="2:12" x14ac:dyDescent="0.35">
      <c r="B13" s="2" t="s">
        <v>132</v>
      </c>
      <c r="D13" t="b">
        <v>1</v>
      </c>
    </row>
    <row r="14" spans="2:12" x14ac:dyDescent="0.35">
      <c r="B14" s="2" t="s">
        <v>133</v>
      </c>
      <c r="D14" t="b">
        <v>0</v>
      </c>
    </row>
    <row r="15" spans="2:12" x14ac:dyDescent="0.35">
      <c r="B15" s="2" t="s">
        <v>134</v>
      </c>
      <c r="D15" t="b">
        <v>1</v>
      </c>
    </row>
    <row r="16" spans="2:12" x14ac:dyDescent="0.35">
      <c r="B16" s="2" t="s">
        <v>135</v>
      </c>
      <c r="D16" t="b">
        <v>1</v>
      </c>
    </row>
    <row r="17" spans="2:4" x14ac:dyDescent="0.35">
      <c r="B17" s="2" t="s">
        <v>136</v>
      </c>
      <c r="D17" t="b">
        <v>1</v>
      </c>
    </row>
    <row r="18" spans="2:4" x14ac:dyDescent="0.35">
      <c r="B18" s="2" t="s">
        <v>137</v>
      </c>
      <c r="D18" t="b">
        <v>1</v>
      </c>
    </row>
    <row r="19" spans="2:4" x14ac:dyDescent="0.35">
      <c r="B19" s="2" t="s">
        <v>138</v>
      </c>
      <c r="D19" t="b">
        <v>1</v>
      </c>
    </row>
    <row r="22" spans="2:4" x14ac:dyDescent="0.35">
      <c r="B22" s="2" t="s">
        <v>139</v>
      </c>
      <c r="C22">
        <f>COUNTA(B10:B19)</f>
        <v>10</v>
      </c>
    </row>
    <row r="23" spans="2:4" x14ac:dyDescent="0.35">
      <c r="B23" s="2" t="s">
        <v>140</v>
      </c>
      <c r="C23">
        <f>COUNTIF(D10:D19,TRUE)</f>
        <v>9</v>
      </c>
    </row>
    <row r="26" spans="2:4" x14ac:dyDescent="0.35">
      <c r="B26" s="2" t="s">
        <v>141</v>
      </c>
      <c r="C26" s="1" t="str">
        <f>IF(C22=C23,"YES","NO")</f>
        <v>NO</v>
      </c>
    </row>
  </sheetData>
  <mergeCells count="1">
    <mergeCell ref="C4:L4"/>
  </mergeCells>
  <conditionalFormatting sqref="C26">
    <cfRule type="expression" dxfId="1" priority="1">
      <formula>$C$26="NO"</formula>
    </cfRule>
    <cfRule type="expression" dxfId="0" priority="2">
      <formula>$C$26="YES"</formula>
    </cfRule>
  </conditionalFormatting>
  <pageMargins left="0.7" right="0.7" top="0.75" bottom="0.75" header="0.3" footer="0.3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577" r:id="rId4" name="Check Box 1">
              <controlPr defaultSize="0" autoFill="0" autoLine="0" autoPict="0">
                <anchor moveWithCells="1">
                  <from>
                    <xdr:col>2</xdr:col>
                    <xdr:colOff>31750</xdr:colOff>
                    <xdr:row>8</xdr:row>
                    <xdr:rowOff>152400</xdr:rowOff>
                  </from>
                  <to>
                    <xdr:col>2</xdr:col>
                    <xdr:colOff>457200</xdr:colOff>
                    <xdr:row>10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78" r:id="rId5" name="Check Box 2">
              <controlPr defaultSize="0" autoFill="0" autoLine="0" autoPict="0">
                <anchor moveWithCells="1">
                  <from>
                    <xdr:col>2</xdr:col>
                    <xdr:colOff>38100</xdr:colOff>
                    <xdr:row>9</xdr:row>
                    <xdr:rowOff>171450</xdr:rowOff>
                  </from>
                  <to>
                    <xdr:col>3</xdr:col>
                    <xdr:colOff>0</xdr:colOff>
                    <xdr:row>11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79" r:id="rId6" name="Check Box 3">
              <controlPr defaultSize="0" autoFill="0" autoLine="0" autoPict="0">
                <anchor moveWithCells="1">
                  <from>
                    <xdr:col>2</xdr:col>
                    <xdr:colOff>38100</xdr:colOff>
                    <xdr:row>10</xdr:row>
                    <xdr:rowOff>165100</xdr:rowOff>
                  </from>
                  <to>
                    <xdr:col>3</xdr:col>
                    <xdr:colOff>0</xdr:colOff>
                    <xdr:row>12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0" r:id="rId7" name="Check Box 4">
              <controlPr defaultSize="0" autoFill="0" autoLine="0" autoPict="0">
                <anchor moveWithCells="1">
                  <from>
                    <xdr:col>2</xdr:col>
                    <xdr:colOff>38100</xdr:colOff>
                    <xdr:row>11</xdr:row>
                    <xdr:rowOff>171450</xdr:rowOff>
                  </from>
                  <to>
                    <xdr:col>3</xdr:col>
                    <xdr:colOff>0</xdr:colOff>
                    <xdr:row>13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1" r:id="rId8" name="Check Box 5">
              <controlPr defaultSize="0" autoFill="0" autoLine="0" autoPict="0">
                <anchor moveWithCells="1">
                  <from>
                    <xdr:col>2</xdr:col>
                    <xdr:colOff>38100</xdr:colOff>
                    <xdr:row>12</xdr:row>
                    <xdr:rowOff>158750</xdr:rowOff>
                  </from>
                  <to>
                    <xdr:col>3</xdr:col>
                    <xdr:colOff>0</xdr:colOff>
                    <xdr:row>14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2" r:id="rId9" name="Check Box 6">
              <controlPr defaultSize="0" autoFill="0" autoLine="0" autoPict="0">
                <anchor moveWithCells="1">
                  <from>
                    <xdr:col>2</xdr:col>
                    <xdr:colOff>50800</xdr:colOff>
                    <xdr:row>13</xdr:row>
                    <xdr:rowOff>171450</xdr:rowOff>
                  </from>
                  <to>
                    <xdr:col>3</xdr:col>
                    <xdr:colOff>12700</xdr:colOff>
                    <xdr:row>15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3" r:id="rId10" name="Check Box 7">
              <controlPr defaultSize="0" autoFill="0" autoLine="0" autoPict="0">
                <anchor moveWithCells="1">
                  <from>
                    <xdr:col>2</xdr:col>
                    <xdr:colOff>50800</xdr:colOff>
                    <xdr:row>14</xdr:row>
                    <xdr:rowOff>171450</xdr:rowOff>
                  </from>
                  <to>
                    <xdr:col>3</xdr:col>
                    <xdr:colOff>12700</xdr:colOff>
                    <xdr:row>16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4" r:id="rId11" name="Check Box 8">
              <controlPr defaultSize="0" autoFill="0" autoLine="0" autoPict="0">
                <anchor moveWithCells="1">
                  <from>
                    <xdr:col>2</xdr:col>
                    <xdr:colOff>50800</xdr:colOff>
                    <xdr:row>15</xdr:row>
                    <xdr:rowOff>171450</xdr:rowOff>
                  </from>
                  <to>
                    <xdr:col>3</xdr:col>
                    <xdr:colOff>12700</xdr:colOff>
                    <xdr:row>17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5" r:id="rId12" name="Check Box 9">
              <controlPr defaultSize="0" autoFill="0" autoLine="0" autoPict="0">
                <anchor moveWithCells="1">
                  <from>
                    <xdr:col>2</xdr:col>
                    <xdr:colOff>50800</xdr:colOff>
                    <xdr:row>16</xdr:row>
                    <xdr:rowOff>165100</xdr:rowOff>
                  </from>
                  <to>
                    <xdr:col>3</xdr:col>
                    <xdr:colOff>12700</xdr:colOff>
                    <xdr:row>18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6" r:id="rId13" name="Check Box 10">
              <controlPr defaultSize="0" autoFill="0" autoLine="0" autoPict="0">
                <anchor moveWithCells="1">
                  <from>
                    <xdr:col>2</xdr:col>
                    <xdr:colOff>50800</xdr:colOff>
                    <xdr:row>17</xdr:row>
                    <xdr:rowOff>171450</xdr:rowOff>
                  </from>
                  <to>
                    <xdr:col>3</xdr:col>
                    <xdr:colOff>12700</xdr:colOff>
                    <xdr:row>19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3">
    <tabColor theme="8" tint="0.39997558519241921"/>
  </sheetPr>
  <dimension ref="C10:N22"/>
  <sheetViews>
    <sheetView workbookViewId="0"/>
  </sheetViews>
  <sheetFormatPr defaultColWidth="11.453125" defaultRowHeight="14.5" x14ac:dyDescent="0.35"/>
  <cols>
    <col min="3" max="3" width="17.1796875" bestFit="1" customWidth="1"/>
    <col min="4" max="4" width="14.7265625" customWidth="1"/>
    <col min="10" max="10" width="11.1796875" customWidth="1"/>
    <col min="14" max="14" width="17.54296875" bestFit="1" customWidth="1"/>
    <col min="15" max="15" width="12.54296875" customWidth="1"/>
  </cols>
  <sheetData>
    <row r="10" spans="3:14" x14ac:dyDescent="0.35">
      <c r="J10" s="18"/>
    </row>
    <row r="11" spans="3:14" x14ac:dyDescent="0.35">
      <c r="J11" s="18"/>
    </row>
    <row r="14" spans="3:14" x14ac:dyDescent="0.35">
      <c r="N14" s="17"/>
    </row>
    <row r="15" spans="3:14" x14ac:dyDescent="0.35">
      <c r="C15" s="3" t="s">
        <v>36</v>
      </c>
      <c r="D15" s="4">
        <v>4</v>
      </c>
      <c r="N15" s="17"/>
    </row>
    <row r="16" spans="3:14" x14ac:dyDescent="0.35">
      <c r="C16" s="3" t="s">
        <v>37</v>
      </c>
      <c r="D16" s="4">
        <v>6.5</v>
      </c>
      <c r="N16" s="17"/>
    </row>
    <row r="17" spans="3:14" x14ac:dyDescent="0.35">
      <c r="C17" s="3" t="s">
        <v>38</v>
      </c>
      <c r="D17" s="5">
        <v>100000</v>
      </c>
      <c r="N17" s="17"/>
    </row>
    <row r="18" spans="3:14" x14ac:dyDescent="0.35">
      <c r="C18" s="3" t="s">
        <v>39</v>
      </c>
      <c r="D18" s="4">
        <v>200000</v>
      </c>
    </row>
    <row r="19" spans="3:14" x14ac:dyDescent="0.35">
      <c r="C19" s="3" t="s">
        <v>40</v>
      </c>
      <c r="D19" s="4">
        <v>400000</v>
      </c>
    </row>
    <row r="20" spans="3:14" x14ac:dyDescent="0.35">
      <c r="C20" s="3" t="s">
        <v>41</v>
      </c>
      <c r="D20" s="4">
        <f>D19+D18</f>
        <v>600000</v>
      </c>
    </row>
    <row r="21" spans="3:14" x14ac:dyDescent="0.35">
      <c r="C21" s="3" t="s">
        <v>42</v>
      </c>
      <c r="D21" s="4">
        <f>D17*D16</f>
        <v>650000</v>
      </c>
    </row>
    <row r="22" spans="3:14" x14ac:dyDescent="0.35">
      <c r="C22" s="6" t="s">
        <v>43</v>
      </c>
      <c r="D22" s="7">
        <f>D21-D20</f>
        <v>50000</v>
      </c>
    </row>
  </sheetData>
  <scenarios current="1" sqref="D20:D22">
    <scenario name="aa" locked="1" count="5" user="Xavier Hernanz" comment="Creado por Xavier Hernanz el 06/07/2011">
      <inputCells r="D15" val="4" numFmtId="166"/>
      <inputCells r="D16" val="6,5" numFmtId="166"/>
      <inputCells r="D17" val="100000" numFmtId="167"/>
      <inputCells r="D18" val="200000" numFmtId="166"/>
      <inputCells r="D19" val="400000" numFmtId="166"/>
    </scenario>
    <scenario name="bb" locked="1" count="5" user="Xavier Hernanz" comment="Creado por Xavier Hernanz el 06/07/2011">
      <inputCells r="D15" val="4" numFmtId="166"/>
      <inputCells r="D16" val="4" numFmtId="166"/>
      <inputCells r="D17" val="100000" numFmtId="167"/>
      <inputCells r="D18" val="200000" numFmtId="166"/>
      <inputCells r="D19" val="400000" numFmtId="166"/>
    </scenario>
  </scenario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14">
    <tabColor theme="6" tint="-0.249977111117893"/>
  </sheetPr>
  <dimension ref="A1:E8"/>
  <sheetViews>
    <sheetView workbookViewId="0"/>
  </sheetViews>
  <sheetFormatPr defaultColWidth="11.453125" defaultRowHeight="14.5" x14ac:dyDescent="0.35"/>
  <cols>
    <col min="1" max="1" width="16.7265625" bestFit="1" customWidth="1"/>
    <col min="3" max="3" width="17" bestFit="1" customWidth="1"/>
  </cols>
  <sheetData>
    <row r="1" spans="1:5" ht="26" x14ac:dyDescent="0.6">
      <c r="A1" s="8" t="s">
        <v>44</v>
      </c>
    </row>
    <row r="5" spans="1:5" x14ac:dyDescent="0.35">
      <c r="C5" s="9" t="s">
        <v>0</v>
      </c>
      <c r="D5" s="10">
        <v>10000</v>
      </c>
      <c r="E5" s="10"/>
    </row>
    <row r="6" spans="1:5" x14ac:dyDescent="0.35">
      <c r="C6" s="11" t="s">
        <v>45</v>
      </c>
      <c r="D6" s="12">
        <v>5</v>
      </c>
      <c r="E6" s="12" t="s">
        <v>46</v>
      </c>
    </row>
    <row r="7" spans="1:5" x14ac:dyDescent="0.35">
      <c r="C7" s="9" t="s">
        <v>47</v>
      </c>
      <c r="D7" s="13">
        <v>7.2</v>
      </c>
      <c r="E7" s="10" t="s">
        <v>48</v>
      </c>
    </row>
    <row r="8" spans="1:5" x14ac:dyDescent="0.35">
      <c r="C8" s="14" t="s">
        <v>49</v>
      </c>
      <c r="D8" s="15">
        <f>PMT(D7/1200,D6*12,-D5)</f>
        <v>198.956948194017</v>
      </c>
      <c r="E8" s="1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>
  <documentManagement>
    <lcf76f155ced4ddcb4097134ff3c332f xmlns="76c91d98-7809-481a-a1ac-bd62ec4f59fb">
      <Terms xmlns="http://schemas.microsoft.com/office/infopath/2007/PartnerControls"/>
    </lcf76f155ced4ddcb4097134ff3c332f>
    <TaxCatchAll xmlns="85e6ab8e-cbd2-4a96-93f4-452498ebce4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4073E82C5C590418396DC255F0DC745" ma:contentTypeVersion="13" ma:contentTypeDescription="Crear nuevo documento." ma:contentTypeScope="" ma:versionID="7d5f230db50da0a02171c3e18d7897cf">
  <xsd:schema xmlns:xsd="http://www.w3.org/2001/XMLSchema" xmlns:xs="http://www.w3.org/2001/XMLSchema" xmlns:p="http://schemas.microsoft.com/office/2006/metadata/properties" xmlns:ns2="76c91d98-7809-481a-a1ac-bd62ec4f59fb" xmlns:ns3="85e6ab8e-cbd2-4a96-93f4-452498ebce46" targetNamespace="http://schemas.microsoft.com/office/2006/metadata/properties" ma:root="true" ma:fieldsID="9c40cd1b29989cc5d6495f5265c0bcf2" ns2:_="" ns3:_="">
    <xsd:import namespace="76c91d98-7809-481a-a1ac-bd62ec4f59fb"/>
    <xsd:import namespace="85e6ab8e-cbd2-4a96-93f4-452498ebce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c91d98-7809-481a-a1ac-bd62ec4f59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887da879-9240-4ca9-a76a-392843ffcf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6ab8e-cbd2-4a96-93f4-452498ebce4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42c2357-5418-49b8-991f-f5c8b07a19d6}" ma:internalName="TaxCatchAll" ma:showField="CatchAllData" ma:web="85e6ab8e-cbd2-4a96-93f4-452498ebce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9CDA7676-C52F-4468-BA52-BCDCCDB28FF7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elements/1.1/"/>
    <ds:schemaRef ds:uri="76c91d98-7809-481a-a1ac-bd62ec4f59fb"/>
    <ds:schemaRef ds:uri="85e6ab8e-cbd2-4a96-93f4-452498ebce46"/>
  </ds:schemaRefs>
</ds:datastoreItem>
</file>

<file path=customXml/itemProps2.xml><?xml version="1.0" encoding="utf-8"?>
<ds:datastoreItem xmlns:ds="http://schemas.openxmlformats.org/officeDocument/2006/customXml" ds:itemID="{B4112CC5-FCB3-4A58-826C-78A8A30C528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83FD1B3-9E4F-41D0-BD5D-E512BCF989D4}"/>
</file>

<file path=customXml/itemProps4.xml><?xml version="1.0" encoding="utf-8"?>
<ds:datastoreItem xmlns:ds="http://schemas.openxmlformats.org/officeDocument/2006/customXml" ds:itemID="{E0A5AAAC-E818-4B06-9D32-20DEEF34E9D6}">
  <ds:schemaRefs>
    <ds:schemaRef ds:uri="http://gemini/workbookcustomization/MetadataRecoveryInformation"/>
  </ds:schemaRefs>
</ds:datastoreItem>
</file>

<file path=customXml/itemProps5.xml><?xml version="1.0" encoding="utf-8"?>
<ds:datastoreItem xmlns:ds="http://schemas.openxmlformats.org/officeDocument/2006/customXml" ds:itemID="{10E35B61-8C00-4D6B-9E52-BA1F1D2A055B}">
  <ds:schemaRefs>
    <ds:schemaRef ds:uri="http://gemini/workbookcustomization/LinkedTabl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Content</vt:lpstr>
      <vt:lpstr>Why</vt:lpstr>
      <vt:lpstr>CF Definition</vt:lpstr>
      <vt:lpstr>CF1_RAW</vt:lpstr>
      <vt:lpstr>CF1_SOLVED</vt:lpstr>
      <vt:lpstr>CF2_RAW</vt:lpstr>
      <vt:lpstr>CF2_SOLVED</vt:lpstr>
      <vt:lpstr>CF4_RAW</vt:lpstr>
      <vt:lpstr>CF4_SOLVED</vt:lpstr>
      <vt:lpstr>Formato Condicional2_Solved</vt:lpstr>
      <vt:lpstr>Find Duplicates_RAW</vt:lpstr>
      <vt:lpstr>Find Duplicates_SOLVED</vt:lpstr>
      <vt:lpstr>Conflicting Rules_RAW</vt:lpstr>
      <vt:lpstr>Conflicting Rules_SOLVED</vt:lpstr>
      <vt:lpstr>Spark Lines</vt:lpstr>
      <vt:lpstr>EXERCISE</vt:lpstr>
      <vt:lpstr>CheckList_SOLVED</vt:lpstr>
      <vt:lpstr>what if</vt:lpstr>
      <vt:lpstr>What if2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xavierh@micproductivity.com</dc:creator>
  <cp:lastModifiedBy>Xavier Hernanz</cp:lastModifiedBy>
  <cp:lastPrinted>2011-05-27T10:50:53Z</cp:lastPrinted>
  <dcterms:created xsi:type="dcterms:W3CDTF">2008-09-18T16:34:56Z</dcterms:created>
  <dcterms:modified xsi:type="dcterms:W3CDTF">2023-07-28T16:18:52Z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0x01010024073E82C5C590418396DC255F0DC745</vt:lpwstr>
  </property>
  <property fmtid="{D5CDD505-2E9C-101B-9397-08002B2CF9AE}" pid="3" name="Etiquetas">
    <vt:lpwstr/>
  </property>
  <property fmtid="{D5CDD505-2E9C-101B-9397-08002B2CF9AE}" pid="4" name="MediaServiceImageTags">
    <vt:lpwstr/>
  </property>
</Properties>
</file>