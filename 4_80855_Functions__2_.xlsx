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/>
  <xr:revisionPtr revIDLastSave="29" documentId="11_EFE7ABD3963883654B37995B0A808931D9094904" xr6:coauthVersionLast="47" xr6:coauthVersionMax="47" xr10:uidLastSave="{F5212F06-EC39-4347-9C49-D6A8FE21C992}"/>
  <bookViews>
    <workbookView xWindow="-130" yWindow="-130" windowWidth="19460" windowHeight="10600" tabRatio="810" xr2:uid="{00000000-000D-0000-FFFF-FFFF00000000}"/>
  </bookViews>
  <sheets>
    <sheet name="Content" sheetId="1" r:id="rId1"/>
    <sheet name="SUMIF_RAW" sheetId="11" r:id="rId2"/>
    <sheet name="SUMIF_SOLVED" sheetId="13" r:id="rId3"/>
    <sheet name="COUNT_RAW" sheetId="14" r:id="rId4"/>
    <sheet name="COUNT_SOLVED" sheetId="15" r:id="rId5"/>
    <sheet name="COUNTA_RAW" sheetId="16" r:id="rId6"/>
    <sheet name="COUNTA_SOLVED" sheetId="17" r:id="rId7"/>
    <sheet name="COUNTIF_RAW" sheetId="19" r:id="rId8"/>
    <sheet name="COUNTIFS_RAW" sheetId="18" r:id="rId9"/>
    <sheet name="AVERAGEIFS_RAW" sheetId="2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B11" i="19"/>
  <c r="B10" i="19"/>
  <c r="B9" i="19"/>
  <c r="B8" i="19"/>
  <c r="B7" i="19"/>
  <c r="C22" i="17"/>
  <c r="C19" i="17"/>
  <c r="C16" i="17"/>
  <c r="C15" i="15"/>
  <c r="C22" i="13"/>
  <c r="C16" i="13"/>
  <c r="B12" i="13"/>
  <c r="B11" i="13"/>
  <c r="B10" i="13"/>
  <c r="B9" i="13"/>
  <c r="B8" i="13"/>
  <c r="B12" i="11"/>
  <c r="B11" i="11"/>
  <c r="B10" i="11"/>
  <c r="B9" i="11"/>
  <c r="B8" i="11"/>
</calcChain>
</file>

<file path=xl/sharedStrings.xml><?xml version="1.0" encoding="utf-8"?>
<sst xmlns="http://schemas.openxmlformats.org/spreadsheetml/2006/main" count="163" uniqueCount="80">
  <si>
    <t>Adding Basic Formulas and Functions</t>
  </si>
  <si>
    <t>SUM.IF</t>
  </si>
  <si>
    <t>Month</t>
  </si>
  <si>
    <t>Year</t>
  </si>
  <si>
    <t>Date</t>
  </si>
  <si>
    <t>Value</t>
  </si>
  <si>
    <t>Criteria</t>
  </si>
  <si>
    <t>SUMIF(criteria range, criteria, [sum_range] )</t>
  </si>
  <si>
    <t>Result</t>
  </si>
  <si>
    <t>Add Values when Year=Criteria</t>
  </si>
  <si>
    <t>Add Values when each value is less than 100</t>
  </si>
  <si>
    <t>Add Values when Year is greater than or equal to 2001</t>
  </si>
  <si>
    <t>Adds all numbers in a range of cells based on one criteria</t>
  </si>
  <si>
    <t>Counts the number of cells that contain numbers as well as the number of arguments that contain numbers</t>
  </si>
  <si>
    <t>Counts the number of cells that are not empty as well as the number of value arguments provided</t>
  </si>
  <si>
    <t>Counts the number of cells in a range, that meets a given criteria</t>
  </si>
  <si>
    <t>Counts the number of cells in a range, that meets a single or multiple criteria</t>
  </si>
  <si>
    <t>COUNT </t>
  </si>
  <si>
    <t>COUNTA </t>
  </si>
  <si>
    <t>COUNTIF </t>
  </si>
  <si>
    <t>COUNTIFS </t>
  </si>
  <si>
    <t>COUNT( argument1, [argument2, ... argument_n] )</t>
  </si>
  <si>
    <t>www.eada.edu</t>
  </si>
  <si>
    <t>Xavier Hernanz</t>
  </si>
  <si>
    <t>Last Name</t>
  </si>
  <si>
    <t>First Name</t>
  </si>
  <si>
    <t>Math</t>
  </si>
  <si>
    <t>Biology</t>
  </si>
  <si>
    <t>Chemistry</t>
  </si>
  <si>
    <t>Jackson</t>
  </si>
  <si>
    <t>Joe</t>
  </si>
  <si>
    <t>A+</t>
  </si>
  <si>
    <t>B</t>
  </si>
  <si>
    <t>Smith</t>
  </si>
  <si>
    <t>Jane</t>
  </si>
  <si>
    <t>A-</t>
  </si>
  <si>
    <t>Ferguson</t>
  </si>
  <si>
    <t>Samantha</t>
  </si>
  <si>
    <t>C</t>
  </si>
  <si>
    <t>Reynolds</t>
  </si>
  <si>
    <t>Allen</t>
  </si>
  <si>
    <t>Anderson</t>
  </si>
  <si>
    <t>Paige</t>
  </si>
  <si>
    <t>Johnson</t>
  </si>
  <si>
    <t>Derek</t>
  </si>
  <si>
    <t>A</t>
  </si>
  <si>
    <t>COUNTA( argument1, [argument2, ... argument_n] )</t>
  </si>
  <si>
    <t>Number of students with a grade in Math</t>
  </si>
  <si>
    <t>Number of students with a grade in Biology</t>
  </si>
  <si>
    <t>Number of students with a grade in Chemistry</t>
  </si>
  <si>
    <t>Number of students with a grade in Math + Jason + Chris</t>
  </si>
  <si>
    <t>COUNTIF( range, criteria )</t>
  </si>
  <si>
    <t>Count Values when Year=Criteria</t>
  </si>
  <si>
    <t>Count Values when Year is greater tahn or equal to 2001</t>
  </si>
  <si>
    <t>Count Values when each value is less than 100</t>
  </si>
  <si>
    <t>COUNTIFS( criteria_range1, criteria1, [criteria_range2, criteria2, ... criteria_range_n, criteria_n] )</t>
  </si>
  <si>
    <t>Product</t>
  </si>
  <si>
    <t>Cost</t>
  </si>
  <si>
    <t>Oranges</t>
  </si>
  <si>
    <t>Bananas</t>
  </si>
  <si>
    <t>Apples</t>
  </si>
  <si>
    <t>Pears</t>
  </si>
  <si>
    <t>Number of sales in 2013</t>
  </si>
  <si>
    <t>Number of sales in 2013 that were oranges</t>
  </si>
  <si>
    <t>Number of sales between 2009 and 2012 (both included)  that were oranges</t>
  </si>
  <si>
    <t>Number sales since 2009 of products that start with character "B"</t>
  </si>
  <si>
    <t>Returns the average of all numbers in a range of cells, based on multiple criteria</t>
  </si>
  <si>
    <t>AVERAGEIFS</t>
  </si>
  <si>
    <t>AVERAGEIFS( average_range, criteria1_range, criteria1, [criteria2_range, criteria2, criteria3_range, criteria3, ...] )</t>
  </si>
  <si>
    <t>Day</t>
  </si>
  <si>
    <t>Average values for year=2012 and months &gt; March</t>
  </si>
  <si>
    <t>Average values for year=2012,  months &gt; March and Day &lt;= 15</t>
  </si>
  <si>
    <t>SUMIF</t>
  </si>
  <si>
    <t>Functions Training2</t>
  </si>
  <si>
    <t xml:space="preserve">Counts the number of cells that are not empty </t>
  </si>
  <si>
    <t xml:space="preserve">Counts the number of cells that contain numbers </t>
  </si>
  <si>
    <t>Count the numbers in the above range</t>
  </si>
  <si>
    <t>COUNTA, COUNTIF, COUNTIFS </t>
  </si>
  <si>
    <t>AVERAGEIF, AVERAGEIFS</t>
  </si>
  <si>
    <t>SUMIF, 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</si>
</sst>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rgb="FF333333"/>
      <name val="Consolas"/>
      <family val="3"/>
    </font>
    <font>
      <sz val="11"/>
      <color rgb="FF333333"/>
      <name val="Consolas"/>
      <family val="3"/>
    </font>
    <font>
      <b/>
      <sz val="16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4" fillId="2" borderId="0" xfId="0" applyFont="1" applyFill="1"/>
    <xf numFmtId="0" fontId="4" fillId="4" borderId="0" xfId="0" applyFont="1" applyFill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0" fillId="3" borderId="0" xfId="0" applyFill="1"/>
    <xf numFmtId="0" fontId="0" fillId="0" borderId="2" xfId="0" applyBorder="1"/>
    <xf numFmtId="0" fontId="8" fillId="0" borderId="0" xfId="0" applyFont="1"/>
    <xf numFmtId="0" fontId="8" fillId="5" borderId="3" xfId="0" applyFont="1" applyFill="1" applyBorder="1" applyAlignment="1">
      <alignment vertical="center"/>
    </xf>
    <xf numFmtId="0" fontId="9" fillId="0" borderId="0" xfId="0" applyFont="1"/>
    <xf numFmtId="0" fontId="8" fillId="0" borderId="3" xfId="0" applyFont="1" applyBorder="1" applyAlignment="1">
      <alignment vertical="center"/>
    </xf>
    <xf numFmtId="0" fontId="3" fillId="3" borderId="0" xfId="1" applyFill="1"/>
    <xf numFmtId="49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49" fontId="5" fillId="0" borderId="0" xfId="0" applyNumberFormat="1" applyFont="1" applyAlignment="1">
      <alignment vertical="center"/>
    </xf>
    <xf numFmtId="0" fontId="4" fillId="0" borderId="0" xfId="0" applyFont="1"/>
    <xf numFmtId="0" fontId="10" fillId="0" borderId="0" xfId="0" applyFont="1"/>
    <xf numFmtId="0" fontId="8" fillId="5" borderId="3" xfId="0" applyFont="1" applyFill="1" applyBorder="1" applyAlignment="1">
      <alignment horizontal="left" vertical="center" indent="1"/>
    </xf>
    <xf numFmtId="0" fontId="3" fillId="5" borderId="3" xfId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49" fontId="10" fillId="0" borderId="0" xfId="0" applyNumberFormat="1" applyFont="1"/>
    <xf numFmtId="0" fontId="5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615DD-C186-4CE9-A083-0514AA88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81026"/>
          <a:ext cx="4600575" cy="17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ada.ed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ada.edu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2"/>
  <sheetViews>
    <sheetView showGridLines="0" showRowColHeaders="0" tabSelected="1" topLeftCell="A3" workbookViewId="0">
      <selection activeCell="B18" sqref="B18"/>
    </sheetView>
  </sheetViews>
  <sheetFormatPr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3" t="s">
        <v>0</v>
      </c>
    </row>
    <row r="16" spans="2:2" ht="21" x14ac:dyDescent="0.5">
      <c r="B16" s="27" t="s">
        <v>73</v>
      </c>
    </row>
    <row r="17" spans="2:2" ht="21" x14ac:dyDescent="0.5">
      <c r="B17" s="2" t="s">
        <v>79</v>
      </c>
    </row>
    <row r="18" spans="2:2" ht="21" x14ac:dyDescent="0.5">
      <c r="B18" s="2" t="s">
        <v>77</v>
      </c>
    </row>
    <row r="19" spans="2:2" ht="21" x14ac:dyDescent="0.5">
      <c r="B19" s="2" t="s">
        <v>78</v>
      </c>
    </row>
    <row r="20" spans="2:2" ht="21" x14ac:dyDescent="0.5">
      <c r="B20" s="2"/>
    </row>
    <row r="21" spans="2:2" ht="21" x14ac:dyDescent="0.5">
      <c r="B21" s="2"/>
    </row>
    <row r="22" spans="2:2" ht="21" x14ac:dyDescent="0.5">
      <c r="B22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3"/>
  <sheetViews>
    <sheetView topLeftCell="A3" zoomScale="145" zoomScaleNormal="145" workbookViewId="0">
      <selection activeCell="D28" sqref="D28"/>
    </sheetView>
  </sheetViews>
  <sheetFormatPr defaultColWidth="11" defaultRowHeight="14.5" x14ac:dyDescent="0.35"/>
  <sheetData>
    <row r="2" spans="2:5" ht="21.5" thickBot="1" x14ac:dyDescent="0.55000000000000004">
      <c r="B2" s="10" t="s">
        <v>72</v>
      </c>
      <c r="C2" s="15" t="s">
        <v>12</v>
      </c>
    </row>
    <row r="3" spans="2:5" ht="15" thickBot="1" x14ac:dyDescent="0.4">
      <c r="B3" s="9" t="s">
        <v>7</v>
      </c>
    </row>
    <row r="7" spans="2:5" x14ac:dyDescent="0.35">
      <c r="B7" s="6" t="s">
        <v>3</v>
      </c>
      <c r="C7" s="6" t="s">
        <v>4</v>
      </c>
      <c r="D7" s="6" t="s">
        <v>5</v>
      </c>
      <c r="E7" s="7" t="s">
        <v>6</v>
      </c>
    </row>
    <row r="8" spans="2:5" x14ac:dyDescent="0.35">
      <c r="B8" s="4">
        <f>YEAR(C8)</f>
        <v>2000</v>
      </c>
      <c r="C8" s="5">
        <v>36739</v>
      </c>
      <c r="D8">
        <v>10.5</v>
      </c>
      <c r="E8" s="11">
        <v>2000</v>
      </c>
    </row>
    <row r="9" spans="2:5" x14ac:dyDescent="0.35">
      <c r="B9" s="4">
        <f>YEAR(C9)</f>
        <v>2003</v>
      </c>
      <c r="C9" s="5">
        <v>37753</v>
      </c>
      <c r="D9">
        <v>7.2</v>
      </c>
    </row>
    <row r="10" spans="2:5" x14ac:dyDescent="0.35">
      <c r="B10" s="4">
        <f>YEAR(C10)</f>
        <v>2000</v>
      </c>
      <c r="C10" s="5">
        <v>36597</v>
      </c>
      <c r="D10">
        <v>200</v>
      </c>
    </row>
    <row r="11" spans="2:5" x14ac:dyDescent="0.35">
      <c r="B11" s="4">
        <f>YEAR(C11)</f>
        <v>2001</v>
      </c>
      <c r="C11" s="5">
        <v>37102</v>
      </c>
      <c r="D11">
        <v>5.4</v>
      </c>
    </row>
    <row r="12" spans="2:5" x14ac:dyDescent="0.35">
      <c r="B12" s="4">
        <f>YEAR(C12)</f>
        <v>2000</v>
      </c>
      <c r="C12" s="5">
        <v>36584</v>
      </c>
      <c r="D12">
        <v>8.1</v>
      </c>
    </row>
    <row r="14" spans="2:5" ht="15" thickBot="1" x14ac:dyDescent="0.4"/>
    <row r="15" spans="2:5" ht="15" thickBot="1" x14ac:dyDescent="0.4">
      <c r="B15" s="8" t="s">
        <v>9</v>
      </c>
    </row>
    <row r="16" spans="2:5" ht="15.5" thickTop="1" thickBot="1" x14ac:dyDescent="0.4">
      <c r="B16" s="6" t="s">
        <v>8</v>
      </c>
      <c r="C16" s="12"/>
    </row>
    <row r="17" spans="2:3" ht="15.5" thickTop="1" thickBot="1" x14ac:dyDescent="0.4"/>
    <row r="18" spans="2:3" ht="15" thickBot="1" x14ac:dyDescent="0.4">
      <c r="B18" s="8" t="s">
        <v>11</v>
      </c>
    </row>
    <row r="19" spans="2:3" ht="15.5" thickTop="1" thickBot="1" x14ac:dyDescent="0.4">
      <c r="B19" s="6" t="s">
        <v>8</v>
      </c>
      <c r="C19" s="12"/>
    </row>
    <row r="20" spans="2:3" ht="15.5" thickTop="1" thickBot="1" x14ac:dyDescent="0.4"/>
    <row r="21" spans="2:3" ht="15" thickBot="1" x14ac:dyDescent="0.4">
      <c r="B21" s="8" t="s">
        <v>10</v>
      </c>
    </row>
    <row r="22" spans="2:3" ht="15.5" thickTop="1" thickBot="1" x14ac:dyDescent="0.4">
      <c r="B22" s="6" t="s">
        <v>8</v>
      </c>
      <c r="C22" s="12"/>
    </row>
    <row r="23" spans="2:3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topLeftCell="A3" zoomScaleNormal="100" workbookViewId="0">
      <selection activeCell="C22" sqref="C22"/>
    </sheetView>
  </sheetViews>
  <sheetFormatPr defaultColWidth="11" defaultRowHeight="14.5" x14ac:dyDescent="0.35"/>
  <sheetData>
    <row r="2" spans="2:5" ht="21.5" thickBot="1" x14ac:dyDescent="0.55000000000000004">
      <c r="B2" s="10" t="s">
        <v>1</v>
      </c>
      <c r="C2" s="13" t="s">
        <v>12</v>
      </c>
    </row>
    <row r="3" spans="2:5" ht="15" thickBot="1" x14ac:dyDescent="0.4">
      <c r="B3" s="9" t="s">
        <v>7</v>
      </c>
    </row>
    <row r="7" spans="2:5" x14ac:dyDescent="0.35">
      <c r="B7" s="6" t="s">
        <v>3</v>
      </c>
      <c r="C7" s="6" t="s">
        <v>4</v>
      </c>
      <c r="D7" s="6" t="s">
        <v>5</v>
      </c>
      <c r="E7" s="7" t="s">
        <v>6</v>
      </c>
    </row>
    <row r="8" spans="2:5" x14ac:dyDescent="0.35">
      <c r="B8" s="4">
        <f>YEAR(C8)</f>
        <v>2000</v>
      </c>
      <c r="C8" s="5">
        <v>36739</v>
      </c>
      <c r="D8">
        <v>10.5</v>
      </c>
      <c r="E8" s="11">
        <v>2000</v>
      </c>
    </row>
    <row r="9" spans="2:5" x14ac:dyDescent="0.35">
      <c r="B9" s="4">
        <f>YEAR(C9)</f>
        <v>2003</v>
      </c>
      <c r="C9" s="5">
        <v>37753</v>
      </c>
      <c r="D9">
        <v>7.2</v>
      </c>
    </row>
    <row r="10" spans="2:5" x14ac:dyDescent="0.35">
      <c r="B10" s="4">
        <f>YEAR(C10)</f>
        <v>2000</v>
      </c>
      <c r="C10" s="5">
        <v>36597</v>
      </c>
      <c r="D10">
        <v>200</v>
      </c>
    </row>
    <row r="11" spans="2:5" x14ac:dyDescent="0.35">
      <c r="B11" s="4">
        <f>YEAR(C11)</f>
        <v>2001</v>
      </c>
      <c r="C11" s="5">
        <v>37102</v>
      </c>
      <c r="D11">
        <v>5.4</v>
      </c>
    </row>
    <row r="12" spans="2:5" x14ac:dyDescent="0.35">
      <c r="B12" s="4">
        <f>YEAR(C12)</f>
        <v>2000</v>
      </c>
      <c r="C12" s="5">
        <v>36584</v>
      </c>
      <c r="D12">
        <v>8.1</v>
      </c>
    </row>
    <row r="14" spans="2:5" ht="15" thickBot="1" x14ac:dyDescent="0.4"/>
    <row r="15" spans="2:5" ht="15" thickBot="1" x14ac:dyDescent="0.4">
      <c r="B15" s="8" t="s">
        <v>9</v>
      </c>
    </row>
    <row r="16" spans="2:5" ht="15.5" thickTop="1" thickBot="1" x14ac:dyDescent="0.4">
      <c r="B16" s="6" t="s">
        <v>8</v>
      </c>
      <c r="C16" s="12">
        <f>SUMIF(B8:B12,E8,D8:D12)</f>
        <v>218.6</v>
      </c>
    </row>
    <row r="17" spans="2:3" ht="15.5" thickTop="1" thickBot="1" x14ac:dyDescent="0.4"/>
    <row r="18" spans="2:3" ht="15" thickBot="1" x14ac:dyDescent="0.4">
      <c r="B18" s="8" t="s">
        <v>11</v>
      </c>
    </row>
    <row r="19" spans="2:3" ht="15.5" thickTop="1" thickBot="1" x14ac:dyDescent="0.4">
      <c r="B19" s="6" t="s">
        <v>8</v>
      </c>
      <c r="C19" s="12">
        <f>SUMIF(B8:B12,"&gt;=2001",D8:D12)</f>
        <v>12.600000000000001</v>
      </c>
    </row>
    <row r="20" spans="2:3" ht="15.5" thickTop="1" thickBot="1" x14ac:dyDescent="0.4"/>
    <row r="21" spans="2:3" ht="15" thickBot="1" x14ac:dyDescent="0.4">
      <c r="B21" s="8" t="s">
        <v>10</v>
      </c>
    </row>
    <row r="22" spans="2:3" ht="15.5" thickTop="1" thickBot="1" x14ac:dyDescent="0.4">
      <c r="B22" s="6" t="s">
        <v>8</v>
      </c>
      <c r="C22" s="12">
        <f>SUMIF(D8:D12,"&lt;100")</f>
        <v>31.200000000000003</v>
      </c>
    </row>
    <row r="23" spans="2:3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56"/>
  <sheetViews>
    <sheetView topLeftCell="A3" zoomScale="145" zoomScaleNormal="145" workbookViewId="0">
      <selection activeCell="E36" sqref="E36"/>
    </sheetView>
  </sheetViews>
  <sheetFormatPr defaultColWidth="11" defaultRowHeight="14.5" x14ac:dyDescent="0.35"/>
  <cols>
    <col min="2" max="2" width="12.453125" customWidth="1"/>
    <col min="9" max="9" width="18.7265625" customWidth="1"/>
  </cols>
  <sheetData>
    <row r="2" spans="2:11" ht="21.5" thickBot="1" x14ac:dyDescent="0.55000000000000004">
      <c r="B2" s="10" t="s">
        <v>17</v>
      </c>
      <c r="C2" s="16" t="s">
        <v>13</v>
      </c>
    </row>
    <row r="3" spans="2:11" ht="15" thickBot="1" x14ac:dyDescent="0.4">
      <c r="B3" s="9" t="s">
        <v>21</v>
      </c>
    </row>
    <row r="5" spans="2:11" ht="21" x14ac:dyDescent="0.5">
      <c r="J5" s="10"/>
      <c r="K5" s="19"/>
    </row>
    <row r="6" spans="2:11" ht="16" customHeight="1" x14ac:dyDescent="0.5">
      <c r="B6" s="17" t="s">
        <v>22</v>
      </c>
      <c r="C6" s="11"/>
      <c r="J6" s="10"/>
      <c r="K6" s="19"/>
    </row>
    <row r="7" spans="2:11" ht="16" customHeight="1" x14ac:dyDescent="0.5">
      <c r="B7" s="11">
        <v>23</v>
      </c>
      <c r="C7" s="11"/>
      <c r="J7" s="10"/>
      <c r="K7" s="19"/>
    </row>
    <row r="8" spans="2:11" x14ac:dyDescent="0.35">
      <c r="B8" s="11" t="s">
        <v>23</v>
      </c>
      <c r="C8" s="11"/>
    </row>
    <row r="9" spans="2:11" x14ac:dyDescent="0.35">
      <c r="B9" s="11">
        <v>-4</v>
      </c>
      <c r="C9" s="11"/>
    </row>
    <row r="10" spans="2:11" ht="19" customHeight="1" x14ac:dyDescent="0.5">
      <c r="B10" s="11">
        <v>7.4</v>
      </c>
      <c r="C10" s="11"/>
      <c r="I10" s="10"/>
    </row>
    <row r="12" spans="2:11" ht="15" thickBot="1" x14ac:dyDescent="0.4"/>
    <row r="13" spans="2:11" ht="15" thickBot="1" x14ac:dyDescent="0.4">
      <c r="B13" s="8" t="s">
        <v>76</v>
      </c>
    </row>
    <row r="14" spans="2:11" ht="15" thickBot="1" x14ac:dyDescent="0.4">
      <c r="B14" s="18"/>
    </row>
    <row r="15" spans="2:11" ht="15.5" thickTop="1" thickBot="1" x14ac:dyDescent="0.4">
      <c r="B15" s="6" t="s">
        <v>8</v>
      </c>
      <c r="C15" s="12"/>
    </row>
    <row r="16" spans="2:11" ht="15" thickTop="1" x14ac:dyDescent="0.35">
      <c r="B16" s="28"/>
    </row>
    <row r="17" spans="2:2" x14ac:dyDescent="0.35">
      <c r="B17" s="18"/>
    </row>
    <row r="18" spans="2:2" x14ac:dyDescent="0.35">
      <c r="B18" s="18"/>
    </row>
    <row r="19" spans="2:2" x14ac:dyDescent="0.35">
      <c r="B19" s="18"/>
    </row>
    <row r="20" spans="2:2" x14ac:dyDescent="0.35">
      <c r="B20" s="18"/>
    </row>
    <row r="21" spans="2:2" x14ac:dyDescent="0.35">
      <c r="B21" s="18"/>
    </row>
    <row r="22" spans="2:2" x14ac:dyDescent="0.35">
      <c r="B22" s="18"/>
    </row>
    <row r="23" spans="2:2" x14ac:dyDescent="0.35">
      <c r="B23" s="18"/>
    </row>
    <row r="24" spans="2:2" x14ac:dyDescent="0.35">
      <c r="B24" s="18"/>
    </row>
    <row r="25" spans="2:2" x14ac:dyDescent="0.35">
      <c r="B25" s="18"/>
    </row>
    <row r="26" spans="2:2" x14ac:dyDescent="0.35">
      <c r="B26" s="18"/>
    </row>
    <row r="27" spans="2:2" x14ac:dyDescent="0.35">
      <c r="B27" s="18"/>
    </row>
    <row r="28" spans="2:2" x14ac:dyDescent="0.35">
      <c r="B28" s="18"/>
    </row>
    <row r="29" spans="2:2" x14ac:dyDescent="0.35">
      <c r="B29" s="18"/>
    </row>
    <row r="30" spans="2:2" x14ac:dyDescent="0.35">
      <c r="B30" s="18"/>
    </row>
    <row r="31" spans="2:2" x14ac:dyDescent="0.35">
      <c r="B31" s="18"/>
    </row>
    <row r="32" spans="2:2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</sheetData>
  <hyperlinks>
    <hyperlink ref="B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57"/>
  <sheetViews>
    <sheetView zoomScale="145" zoomScaleNormal="145" workbookViewId="0">
      <selection activeCell="E36" sqref="E36"/>
    </sheetView>
  </sheetViews>
  <sheetFormatPr defaultColWidth="11" defaultRowHeight="14.5" x14ac:dyDescent="0.35"/>
  <cols>
    <col min="2" max="2" width="12.453125" customWidth="1"/>
    <col min="6" max="6" width="11.1796875" bestFit="1" customWidth="1"/>
    <col min="9" max="9" width="18.7265625" customWidth="1"/>
  </cols>
  <sheetData>
    <row r="2" spans="2:11" ht="21.5" thickBot="1" x14ac:dyDescent="0.55000000000000004">
      <c r="B2" s="10" t="s">
        <v>17</v>
      </c>
      <c r="C2" s="16" t="s">
        <v>75</v>
      </c>
    </row>
    <row r="3" spans="2:11" ht="15" thickBot="1" x14ac:dyDescent="0.4">
      <c r="B3" s="9" t="s">
        <v>21</v>
      </c>
    </row>
    <row r="5" spans="2:11" ht="21" x14ac:dyDescent="0.5">
      <c r="J5" s="10"/>
      <c r="K5" s="19"/>
    </row>
    <row r="6" spans="2:11" ht="21" x14ac:dyDescent="0.5">
      <c r="B6" s="17" t="s">
        <v>22</v>
      </c>
      <c r="C6" s="11"/>
      <c r="J6" s="10"/>
      <c r="K6" s="19"/>
    </row>
    <row r="7" spans="2:11" ht="21" x14ac:dyDescent="0.5">
      <c r="B7" s="11">
        <v>23</v>
      </c>
      <c r="C7" s="11"/>
      <c r="J7" s="10"/>
      <c r="K7" s="19"/>
    </row>
    <row r="8" spans="2:11" x14ac:dyDescent="0.35">
      <c r="B8" s="11" t="s">
        <v>23</v>
      </c>
      <c r="C8" s="11"/>
    </row>
    <row r="9" spans="2:11" x14ac:dyDescent="0.35">
      <c r="B9" s="11">
        <v>-4</v>
      </c>
      <c r="C9" s="11"/>
    </row>
    <row r="10" spans="2:11" ht="21" x14ac:dyDescent="0.5">
      <c r="B10" s="11">
        <v>7.4</v>
      </c>
      <c r="C10" s="11"/>
      <c r="I10" s="10"/>
    </row>
    <row r="12" spans="2:11" ht="15" thickBot="1" x14ac:dyDescent="0.4"/>
    <row r="13" spans="2:11" x14ac:dyDescent="0.35">
      <c r="B13" s="29" t="s">
        <v>76</v>
      </c>
    </row>
    <row r="14" spans="2:11" ht="15" thickBot="1" x14ac:dyDescent="0.4">
      <c r="B14" s="18"/>
    </row>
    <row r="15" spans="2:11" ht="15.5" thickTop="1" thickBot="1" x14ac:dyDescent="0.4">
      <c r="B15" s="6" t="s">
        <v>8</v>
      </c>
      <c r="C15" s="12">
        <f>COUNT(B6:B10)</f>
        <v>3</v>
      </c>
    </row>
    <row r="16" spans="2:11" ht="15" thickTop="1" x14ac:dyDescent="0.35">
      <c r="B16" s="28"/>
    </row>
    <row r="17" spans="2:2" x14ac:dyDescent="0.35">
      <c r="B17" s="18"/>
    </row>
    <row r="18" spans="2:2" x14ac:dyDescent="0.35">
      <c r="B18" s="18"/>
    </row>
    <row r="19" spans="2:2" x14ac:dyDescent="0.35">
      <c r="B19" s="18"/>
    </row>
    <row r="20" spans="2:2" x14ac:dyDescent="0.35">
      <c r="B20" s="18"/>
    </row>
    <row r="21" spans="2:2" x14ac:dyDescent="0.35">
      <c r="B21" s="18"/>
    </row>
    <row r="22" spans="2:2" x14ac:dyDescent="0.35">
      <c r="B22" s="18"/>
    </row>
    <row r="23" spans="2:2" x14ac:dyDescent="0.35">
      <c r="B23" s="18"/>
    </row>
    <row r="24" spans="2:2" x14ac:dyDescent="0.35">
      <c r="B24" s="18"/>
    </row>
    <row r="25" spans="2:2" x14ac:dyDescent="0.35">
      <c r="B25" s="18"/>
    </row>
    <row r="26" spans="2:2" x14ac:dyDescent="0.35">
      <c r="B26" s="18"/>
    </row>
    <row r="27" spans="2:2" x14ac:dyDescent="0.35">
      <c r="B27" s="18"/>
    </row>
    <row r="28" spans="2:2" x14ac:dyDescent="0.35">
      <c r="B28" s="18"/>
    </row>
    <row r="29" spans="2:2" x14ac:dyDescent="0.35">
      <c r="B29" s="18"/>
    </row>
    <row r="30" spans="2:2" x14ac:dyDescent="0.35">
      <c r="B30" s="18"/>
    </row>
    <row r="31" spans="2:2" x14ac:dyDescent="0.35">
      <c r="B31" s="18"/>
    </row>
    <row r="32" spans="2:2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  <row r="57" spans="2:2" x14ac:dyDescent="0.35">
      <c r="B57" s="18"/>
    </row>
  </sheetData>
  <hyperlinks>
    <hyperlink ref="B6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64"/>
  <sheetViews>
    <sheetView zoomScale="145" zoomScaleNormal="145" workbookViewId="0">
      <selection activeCell="G17" sqref="G17"/>
    </sheetView>
  </sheetViews>
  <sheetFormatPr defaultColWidth="11" defaultRowHeight="14.5" x14ac:dyDescent="0.35"/>
  <cols>
    <col min="2" max="2" width="12.453125" customWidth="1"/>
    <col min="9" max="9" width="18.7265625" customWidth="1"/>
  </cols>
  <sheetData>
    <row r="2" spans="2:6" ht="21.5" thickBot="1" x14ac:dyDescent="0.55000000000000004">
      <c r="B2" s="10" t="s">
        <v>18</v>
      </c>
      <c r="C2" s="14" t="s">
        <v>14</v>
      </c>
    </row>
    <row r="3" spans="2:6" ht="15" thickBot="1" x14ac:dyDescent="0.4">
      <c r="B3" s="9" t="s">
        <v>46</v>
      </c>
    </row>
    <row r="6" spans="2:6" x14ac:dyDescent="0.35"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</row>
    <row r="7" spans="2:6" x14ac:dyDescent="0.35">
      <c r="B7" s="4" t="s">
        <v>29</v>
      </c>
      <c r="C7" t="s">
        <v>30</v>
      </c>
      <c r="D7" s="1" t="s">
        <v>31</v>
      </c>
      <c r="E7" s="1"/>
      <c r="F7" s="1" t="s">
        <v>32</v>
      </c>
    </row>
    <row r="8" spans="2:6" x14ac:dyDescent="0.35">
      <c r="B8" s="4" t="s">
        <v>33</v>
      </c>
      <c r="C8" t="s">
        <v>34</v>
      </c>
      <c r="D8" s="1"/>
      <c r="E8" s="1" t="s">
        <v>35</v>
      </c>
      <c r="F8" s="1" t="s">
        <v>31</v>
      </c>
    </row>
    <row r="9" spans="2:6" x14ac:dyDescent="0.35">
      <c r="B9" s="4" t="s">
        <v>36</v>
      </c>
      <c r="C9" t="s">
        <v>37</v>
      </c>
      <c r="D9" s="1"/>
      <c r="E9" s="20"/>
      <c r="F9" s="1" t="s">
        <v>38</v>
      </c>
    </row>
    <row r="10" spans="2:6" x14ac:dyDescent="0.35">
      <c r="B10" s="4" t="s">
        <v>39</v>
      </c>
      <c r="C10" t="s">
        <v>40</v>
      </c>
      <c r="D10" s="1" t="s">
        <v>32</v>
      </c>
      <c r="E10" s="1" t="s">
        <v>32</v>
      </c>
      <c r="F10" s="1"/>
    </row>
    <row r="11" spans="2:6" x14ac:dyDescent="0.35">
      <c r="B11" s="4" t="s">
        <v>41</v>
      </c>
      <c r="C11" t="s">
        <v>42</v>
      </c>
      <c r="D11" s="1" t="s">
        <v>35</v>
      </c>
      <c r="E11" s="20"/>
      <c r="F11" s="1"/>
    </row>
    <row r="12" spans="2:6" x14ac:dyDescent="0.35">
      <c r="B12" s="4" t="s">
        <v>43</v>
      </c>
      <c r="C12" t="s">
        <v>44</v>
      </c>
      <c r="D12" s="1"/>
      <c r="E12" s="1"/>
      <c r="F12" s="1" t="s">
        <v>45</v>
      </c>
    </row>
    <row r="14" spans="2:6" ht="15" thickBot="1" x14ac:dyDescent="0.4"/>
    <row r="15" spans="2:6" ht="15" thickBot="1" x14ac:dyDescent="0.4">
      <c r="B15" s="8" t="s">
        <v>47</v>
      </c>
    </row>
    <row r="16" spans="2:6" ht="15.5" thickTop="1" thickBot="1" x14ac:dyDescent="0.4">
      <c r="B16" s="6" t="s">
        <v>8</v>
      </c>
      <c r="C16" s="12"/>
    </row>
    <row r="17" spans="2:11" ht="15.5" thickTop="1" thickBot="1" x14ac:dyDescent="0.4">
      <c r="E17" s="22"/>
    </row>
    <row r="18" spans="2:11" ht="15" thickBot="1" x14ac:dyDescent="0.4">
      <c r="B18" s="8" t="s">
        <v>48</v>
      </c>
    </row>
    <row r="19" spans="2:11" ht="16" customHeight="1" thickTop="1" thickBot="1" x14ac:dyDescent="0.55000000000000004">
      <c r="B19" s="6" t="s">
        <v>8</v>
      </c>
      <c r="C19" s="12"/>
      <c r="E19" s="22"/>
      <c r="J19" s="10"/>
      <c r="K19" s="19"/>
    </row>
    <row r="20" spans="2:11" ht="17.149999999999999" customHeight="1" thickTop="1" thickBot="1" x14ac:dyDescent="0.55000000000000004">
      <c r="B20" s="23"/>
      <c r="J20" s="10"/>
      <c r="K20" s="19"/>
    </row>
    <row r="21" spans="2:11" ht="15" thickBot="1" x14ac:dyDescent="0.4">
      <c r="B21" s="8" t="s">
        <v>49</v>
      </c>
      <c r="E21" s="22"/>
    </row>
    <row r="22" spans="2:11" ht="15.5" thickTop="1" thickBot="1" x14ac:dyDescent="0.4">
      <c r="B22" s="6" t="s">
        <v>8</v>
      </c>
      <c r="C22" s="12"/>
    </row>
    <row r="23" spans="2:11" ht="15.5" thickTop="1" thickBot="1" x14ac:dyDescent="0.4">
      <c r="B23" s="21"/>
      <c r="E23" s="22"/>
    </row>
    <row r="24" spans="2:11" ht="15" thickBot="1" x14ac:dyDescent="0.4">
      <c r="B24" s="8" t="s">
        <v>50</v>
      </c>
    </row>
    <row r="25" spans="2:11" ht="15.5" thickTop="1" thickBot="1" x14ac:dyDescent="0.4">
      <c r="B25" s="6" t="s">
        <v>8</v>
      </c>
      <c r="C25" s="12"/>
    </row>
    <row r="26" spans="2:11" ht="15" thickTop="1" x14ac:dyDescent="0.35">
      <c r="B26" s="18"/>
    </row>
    <row r="27" spans="2:11" x14ac:dyDescent="0.35">
      <c r="B27" s="18"/>
    </row>
    <row r="28" spans="2:11" x14ac:dyDescent="0.35">
      <c r="B28" s="18"/>
    </row>
    <row r="29" spans="2:11" x14ac:dyDescent="0.35">
      <c r="B29" s="18"/>
    </row>
    <row r="30" spans="2:11" x14ac:dyDescent="0.35">
      <c r="B30" s="18"/>
    </row>
    <row r="31" spans="2:11" x14ac:dyDescent="0.35">
      <c r="B31" s="18"/>
    </row>
    <row r="32" spans="2:11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  <row r="57" spans="2:2" x14ac:dyDescent="0.35">
      <c r="B57" s="18"/>
    </row>
    <row r="58" spans="2:2" x14ac:dyDescent="0.35">
      <c r="B58" s="18"/>
    </row>
    <row r="59" spans="2:2" x14ac:dyDescent="0.35">
      <c r="B59" s="18"/>
    </row>
    <row r="60" spans="2:2" x14ac:dyDescent="0.35">
      <c r="B60" s="18"/>
    </row>
    <row r="61" spans="2:2" x14ac:dyDescent="0.35">
      <c r="B61" s="18"/>
    </row>
    <row r="62" spans="2:2" x14ac:dyDescent="0.35">
      <c r="B62" s="18"/>
    </row>
    <row r="63" spans="2:2" x14ac:dyDescent="0.35">
      <c r="B63" s="18"/>
    </row>
    <row r="64" spans="2:2" x14ac:dyDescent="0.35">
      <c r="B64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60"/>
  <sheetViews>
    <sheetView topLeftCell="A15" zoomScale="145" zoomScaleNormal="145" workbookViewId="0">
      <selection activeCell="A23" sqref="A23:XFD26"/>
    </sheetView>
  </sheetViews>
  <sheetFormatPr defaultColWidth="10.81640625" defaultRowHeight="14.5" x14ac:dyDescent="0.35"/>
  <cols>
    <col min="2" max="2" width="12.453125" customWidth="1"/>
    <col min="3" max="3" width="11.1796875" bestFit="1" customWidth="1"/>
    <col min="9" max="9" width="18.7265625" customWidth="1"/>
    <col min="10" max="10" width="19.1796875" customWidth="1"/>
  </cols>
  <sheetData>
    <row r="2" spans="2:6" ht="21.5" thickBot="1" x14ac:dyDescent="0.55000000000000004">
      <c r="B2" s="10" t="s">
        <v>18</v>
      </c>
      <c r="C2" s="14" t="s">
        <v>74</v>
      </c>
    </row>
    <row r="3" spans="2:6" ht="15" thickBot="1" x14ac:dyDescent="0.4">
      <c r="B3" s="9" t="s">
        <v>46</v>
      </c>
    </row>
    <row r="6" spans="2:6" x14ac:dyDescent="0.35"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</row>
    <row r="7" spans="2:6" x14ac:dyDescent="0.35">
      <c r="B7" s="4" t="s">
        <v>29</v>
      </c>
      <c r="C7" t="s">
        <v>30</v>
      </c>
      <c r="D7" s="1" t="s">
        <v>31</v>
      </c>
      <c r="E7" s="1"/>
      <c r="F7" s="1" t="s">
        <v>32</v>
      </c>
    </row>
    <row r="8" spans="2:6" x14ac:dyDescent="0.35">
      <c r="B8" s="4" t="s">
        <v>33</v>
      </c>
      <c r="C8" t="s">
        <v>34</v>
      </c>
      <c r="D8" s="1"/>
      <c r="E8" s="1" t="s">
        <v>35</v>
      </c>
      <c r="F8" s="1" t="s">
        <v>31</v>
      </c>
    </row>
    <row r="9" spans="2:6" x14ac:dyDescent="0.35">
      <c r="B9" s="4" t="s">
        <v>36</v>
      </c>
      <c r="C9" t="s">
        <v>37</v>
      </c>
      <c r="D9" s="1"/>
      <c r="E9" s="20"/>
      <c r="F9" s="1" t="s">
        <v>38</v>
      </c>
    </row>
    <row r="10" spans="2:6" x14ac:dyDescent="0.35">
      <c r="B10" s="4" t="s">
        <v>39</v>
      </c>
      <c r="C10" t="s">
        <v>40</v>
      </c>
      <c r="D10" s="1" t="s">
        <v>32</v>
      </c>
      <c r="E10" s="1" t="s">
        <v>32</v>
      </c>
      <c r="F10" s="1"/>
    </row>
    <row r="11" spans="2:6" x14ac:dyDescent="0.35">
      <c r="B11" s="4" t="s">
        <v>41</v>
      </c>
      <c r="C11" t="s">
        <v>42</v>
      </c>
      <c r="D11" s="1" t="s">
        <v>35</v>
      </c>
      <c r="E11" s="20"/>
      <c r="F11" s="1"/>
    </row>
    <row r="12" spans="2:6" x14ac:dyDescent="0.35">
      <c r="B12" s="4" t="s">
        <v>43</v>
      </c>
      <c r="C12" t="s">
        <v>44</v>
      </c>
      <c r="D12" s="1"/>
      <c r="E12" s="1"/>
      <c r="F12" s="1" t="s">
        <v>45</v>
      </c>
    </row>
    <row r="14" spans="2:6" ht="15" thickBot="1" x14ac:dyDescent="0.4"/>
    <row r="15" spans="2:6" ht="15" thickBot="1" x14ac:dyDescent="0.4">
      <c r="B15" s="8" t="s">
        <v>47</v>
      </c>
    </row>
    <row r="16" spans="2:6" ht="15.5" thickTop="1" thickBot="1" x14ac:dyDescent="0.4">
      <c r="B16" s="6" t="s">
        <v>8</v>
      </c>
      <c r="C16" s="12">
        <f>COUNTA(D7:D12)</f>
        <v>3</v>
      </c>
    </row>
    <row r="17" spans="2:5" ht="15.5" thickTop="1" thickBot="1" x14ac:dyDescent="0.4">
      <c r="E17" s="22"/>
    </row>
    <row r="18" spans="2:5" ht="15" thickBot="1" x14ac:dyDescent="0.4">
      <c r="B18" s="8" t="s">
        <v>48</v>
      </c>
    </row>
    <row r="19" spans="2:5" ht="16" customHeight="1" thickTop="1" thickBot="1" x14ac:dyDescent="0.4">
      <c r="B19" s="6" t="s">
        <v>8</v>
      </c>
      <c r="C19" s="12">
        <f>COUNTA(E7:E12)</f>
        <v>2</v>
      </c>
      <c r="E19" s="22"/>
    </row>
    <row r="20" spans="2:5" ht="17.149999999999999" customHeight="1" thickTop="1" thickBot="1" x14ac:dyDescent="0.4">
      <c r="B20" s="23"/>
    </row>
    <row r="21" spans="2:5" ht="15" thickBot="1" x14ac:dyDescent="0.4">
      <c r="B21" s="8" t="s">
        <v>49</v>
      </c>
      <c r="E21" s="22"/>
    </row>
    <row r="22" spans="2:5" ht="15.5" thickTop="1" thickBot="1" x14ac:dyDescent="0.4">
      <c r="B22" s="6" t="s">
        <v>8</v>
      </c>
      <c r="C22" s="12">
        <f>COUNTA(F7:F12)</f>
        <v>4</v>
      </c>
    </row>
    <row r="23" spans="2:5" ht="15" thickTop="1" x14ac:dyDescent="0.35">
      <c r="B23" s="18"/>
    </row>
    <row r="24" spans="2:5" x14ac:dyDescent="0.35">
      <c r="B24" s="18"/>
    </row>
    <row r="25" spans="2:5" x14ac:dyDescent="0.35">
      <c r="B25" s="18"/>
    </row>
    <row r="26" spans="2:5" x14ac:dyDescent="0.35">
      <c r="B26" s="18"/>
    </row>
    <row r="27" spans="2:5" x14ac:dyDescent="0.35">
      <c r="B27" s="18"/>
    </row>
    <row r="28" spans="2:5" x14ac:dyDescent="0.35">
      <c r="B28" s="18"/>
    </row>
    <row r="29" spans="2:5" x14ac:dyDescent="0.35">
      <c r="B29" s="18"/>
    </row>
    <row r="30" spans="2:5" x14ac:dyDescent="0.35">
      <c r="B30" s="18"/>
    </row>
    <row r="31" spans="2:5" x14ac:dyDescent="0.35">
      <c r="B31" s="18"/>
    </row>
    <row r="32" spans="2:5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  <row r="57" spans="2:2" x14ac:dyDescent="0.35">
      <c r="B57" s="18"/>
    </row>
    <row r="58" spans="2:2" x14ac:dyDescent="0.35">
      <c r="B58" s="18"/>
    </row>
    <row r="59" spans="2:2" x14ac:dyDescent="0.35">
      <c r="B59" s="18"/>
    </row>
    <row r="60" spans="2:2" x14ac:dyDescent="0.35">
      <c r="B60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30"/>
  <sheetViews>
    <sheetView zoomScale="145" zoomScaleNormal="145" workbookViewId="0">
      <selection activeCell="I16" sqref="I16"/>
    </sheetView>
  </sheetViews>
  <sheetFormatPr defaultColWidth="10.81640625" defaultRowHeight="14.5" x14ac:dyDescent="0.35"/>
  <cols>
    <col min="2" max="2" width="12.453125" customWidth="1"/>
    <col min="9" max="9" width="18.7265625" customWidth="1"/>
  </cols>
  <sheetData>
    <row r="2" spans="2:5" ht="21.5" thickBot="1" x14ac:dyDescent="0.55000000000000004">
      <c r="B2" s="10" t="s">
        <v>19</v>
      </c>
      <c r="C2" s="14" t="s">
        <v>15</v>
      </c>
    </row>
    <row r="3" spans="2:5" ht="15" thickBot="1" x14ac:dyDescent="0.4">
      <c r="B3" s="9" t="s">
        <v>51</v>
      </c>
    </row>
    <row r="6" spans="2:5" x14ac:dyDescent="0.35">
      <c r="B6" s="6" t="s">
        <v>3</v>
      </c>
      <c r="C6" s="6" t="s">
        <v>4</v>
      </c>
      <c r="D6" s="6" t="s">
        <v>5</v>
      </c>
      <c r="E6" s="7" t="s">
        <v>6</v>
      </c>
    </row>
    <row r="7" spans="2:5" x14ac:dyDescent="0.35">
      <c r="B7" s="4">
        <f>YEAR(C7)</f>
        <v>2000</v>
      </c>
      <c r="C7" s="5">
        <v>36739</v>
      </c>
      <c r="D7">
        <v>10.5</v>
      </c>
      <c r="E7" s="11">
        <v>2000</v>
      </c>
    </row>
    <row r="8" spans="2:5" x14ac:dyDescent="0.35">
      <c r="B8" s="4">
        <f>YEAR(C8)</f>
        <v>2003</v>
      </c>
      <c r="C8" s="5">
        <v>37753</v>
      </c>
      <c r="D8">
        <v>7.2</v>
      </c>
    </row>
    <row r="9" spans="2:5" x14ac:dyDescent="0.35">
      <c r="B9" s="4">
        <f>YEAR(C9)</f>
        <v>2000</v>
      </c>
      <c r="C9" s="5">
        <v>36597</v>
      </c>
      <c r="D9">
        <v>200</v>
      </c>
    </row>
    <row r="10" spans="2:5" x14ac:dyDescent="0.35">
      <c r="B10" s="4">
        <f>YEAR(C10)</f>
        <v>2001</v>
      </c>
      <c r="C10" s="5">
        <v>37102</v>
      </c>
      <c r="D10">
        <v>5.4</v>
      </c>
    </row>
    <row r="11" spans="2:5" x14ac:dyDescent="0.35">
      <c r="B11" s="4">
        <f>YEAR(C11)</f>
        <v>2000</v>
      </c>
      <c r="C11" s="5">
        <v>36584</v>
      </c>
      <c r="D11">
        <v>8.1</v>
      </c>
    </row>
    <row r="13" spans="2:5" ht="15" thickBot="1" x14ac:dyDescent="0.4"/>
    <row r="14" spans="2:5" ht="15" thickBot="1" x14ac:dyDescent="0.4">
      <c r="B14" s="8" t="s">
        <v>52</v>
      </c>
    </row>
    <row r="15" spans="2:5" ht="15.5" thickTop="1" thickBot="1" x14ac:dyDescent="0.4">
      <c r="B15" s="6" t="s">
        <v>8</v>
      </c>
      <c r="C15" s="12"/>
    </row>
    <row r="16" spans="2:5" ht="15.5" thickTop="1" thickBot="1" x14ac:dyDescent="0.4"/>
    <row r="17" spans="2:3" ht="15" thickBot="1" x14ac:dyDescent="0.4">
      <c r="B17" s="8" t="s">
        <v>53</v>
      </c>
    </row>
    <row r="18" spans="2:3" ht="15.5" thickTop="1" thickBot="1" x14ac:dyDescent="0.4">
      <c r="B18" s="6" t="s">
        <v>8</v>
      </c>
      <c r="C18" s="12"/>
    </row>
    <row r="19" spans="2:3" ht="15.5" thickTop="1" thickBot="1" x14ac:dyDescent="0.4"/>
    <row r="20" spans="2:3" ht="15" thickBot="1" x14ac:dyDescent="0.4">
      <c r="B20" s="8" t="s">
        <v>54</v>
      </c>
    </row>
    <row r="21" spans="2:3" ht="15.5" thickTop="1" thickBot="1" x14ac:dyDescent="0.4">
      <c r="B21" s="6" t="s">
        <v>8</v>
      </c>
      <c r="C21" s="12"/>
    </row>
    <row r="22" spans="2:3" ht="15" thickTop="1" x14ac:dyDescent="0.35">
      <c r="B22" s="18"/>
    </row>
    <row r="23" spans="2:3" x14ac:dyDescent="0.35">
      <c r="B23" s="18"/>
    </row>
    <row r="24" spans="2:3" x14ac:dyDescent="0.35">
      <c r="B24" s="18"/>
    </row>
    <row r="25" spans="2:3" x14ac:dyDescent="0.35">
      <c r="B25" s="18"/>
    </row>
    <row r="26" spans="2:3" x14ac:dyDescent="0.35">
      <c r="B26" s="18"/>
    </row>
    <row r="27" spans="2:3" x14ac:dyDescent="0.35">
      <c r="B27" s="18"/>
    </row>
    <row r="28" spans="2:3" x14ac:dyDescent="0.35">
      <c r="B28" s="18"/>
    </row>
    <row r="29" spans="2:3" x14ac:dyDescent="0.35">
      <c r="B29" s="18"/>
    </row>
    <row r="30" spans="2:3" x14ac:dyDescent="0.35">
      <c r="B30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65"/>
  <sheetViews>
    <sheetView zoomScale="145" zoomScaleNormal="145" workbookViewId="0">
      <selection activeCell="L25" sqref="L25"/>
    </sheetView>
  </sheetViews>
  <sheetFormatPr defaultColWidth="10.81640625" defaultRowHeight="14.5" x14ac:dyDescent="0.35"/>
  <cols>
    <col min="2" max="2" width="15.26953125" customWidth="1"/>
    <col min="9" max="9" width="18.7265625" customWidth="1"/>
  </cols>
  <sheetData>
    <row r="2" spans="2:6" ht="21.5" thickBot="1" x14ac:dyDescent="0.55000000000000004">
      <c r="B2" s="10" t="s">
        <v>20</v>
      </c>
      <c r="C2" s="24" t="s">
        <v>16</v>
      </c>
    </row>
    <row r="3" spans="2:6" ht="15" thickBot="1" x14ac:dyDescent="0.4">
      <c r="B3" s="9" t="s">
        <v>55</v>
      </c>
    </row>
    <row r="6" spans="2:6" x14ac:dyDescent="0.35">
      <c r="B6" s="6" t="s">
        <v>3</v>
      </c>
      <c r="C6" s="6" t="s">
        <v>56</v>
      </c>
      <c r="D6" s="6" t="s">
        <v>57</v>
      </c>
      <c r="E6" s="22"/>
      <c r="F6" s="22"/>
    </row>
    <row r="7" spans="2:6" x14ac:dyDescent="0.35">
      <c r="B7" s="4">
        <v>2013</v>
      </c>
      <c r="C7" t="s">
        <v>58</v>
      </c>
      <c r="D7" s="1">
        <v>12.25</v>
      </c>
      <c r="E7" s="1"/>
      <c r="F7" s="1"/>
    </row>
    <row r="8" spans="2:6" x14ac:dyDescent="0.35">
      <c r="B8" s="4">
        <v>2012</v>
      </c>
      <c r="C8" t="s">
        <v>59</v>
      </c>
      <c r="D8" s="1">
        <v>10.5</v>
      </c>
      <c r="E8" s="1"/>
      <c r="F8" s="1"/>
    </row>
    <row r="9" spans="2:6" x14ac:dyDescent="0.35">
      <c r="B9" s="4">
        <v>2012</v>
      </c>
      <c r="C9" t="s">
        <v>60</v>
      </c>
      <c r="D9" s="1">
        <v>5.0999999999999996</v>
      </c>
      <c r="E9" s="20"/>
      <c r="F9" s="1"/>
    </row>
    <row r="10" spans="2:6" x14ac:dyDescent="0.35">
      <c r="B10" s="4">
        <v>2013</v>
      </c>
      <c r="C10" t="s">
        <v>59</v>
      </c>
      <c r="D10" s="1">
        <v>8.35</v>
      </c>
      <c r="E10" s="1"/>
      <c r="F10" s="1"/>
    </row>
    <row r="11" spans="2:6" x14ac:dyDescent="0.35">
      <c r="B11" s="4">
        <v>2013</v>
      </c>
      <c r="C11" t="s">
        <v>58</v>
      </c>
      <c r="D11" s="1">
        <v>13.45</v>
      </c>
      <c r="E11" s="20"/>
      <c r="F11" s="1"/>
    </row>
    <row r="12" spans="2:6" x14ac:dyDescent="0.35">
      <c r="B12" s="4">
        <v>2011</v>
      </c>
      <c r="C12" t="s">
        <v>60</v>
      </c>
      <c r="D12" s="1">
        <v>7.95</v>
      </c>
      <c r="E12" s="1"/>
      <c r="F12" s="1"/>
    </row>
    <row r="13" spans="2:6" x14ac:dyDescent="0.35">
      <c r="B13" s="4">
        <v>2013</v>
      </c>
      <c r="C13" t="s">
        <v>61</v>
      </c>
      <c r="D13" s="1">
        <v>6</v>
      </c>
    </row>
    <row r="14" spans="2:6" x14ac:dyDescent="0.35">
      <c r="B14" s="4">
        <v>2009</v>
      </c>
      <c r="C14" t="s">
        <v>58</v>
      </c>
      <c r="D14" s="1">
        <v>4.55</v>
      </c>
    </row>
    <row r="15" spans="2:6" ht="15" thickBot="1" x14ac:dyDescent="0.4">
      <c r="B15" s="4"/>
    </row>
    <row r="16" spans="2:6" ht="15" thickBot="1" x14ac:dyDescent="0.4">
      <c r="B16" s="8" t="s">
        <v>62</v>
      </c>
    </row>
    <row r="17" spans="2:11" ht="15.5" thickTop="1" thickBot="1" x14ac:dyDescent="0.4">
      <c r="B17" s="6" t="s">
        <v>8</v>
      </c>
      <c r="C17" s="12"/>
    </row>
    <row r="18" spans="2:11" ht="15.5" thickTop="1" thickBot="1" x14ac:dyDescent="0.4">
      <c r="E18" s="22"/>
    </row>
    <row r="19" spans="2:11" ht="15" thickBot="1" x14ac:dyDescent="0.4">
      <c r="B19" s="8" t="s">
        <v>63</v>
      </c>
    </row>
    <row r="20" spans="2:11" ht="16" customHeight="1" thickTop="1" thickBot="1" x14ac:dyDescent="0.55000000000000004">
      <c r="B20" s="6" t="s">
        <v>8</v>
      </c>
      <c r="C20" s="12"/>
      <c r="E20" s="22"/>
      <c r="J20" s="10"/>
      <c r="K20" s="19"/>
    </row>
    <row r="21" spans="2:11" ht="17.149999999999999" customHeight="1" thickTop="1" thickBot="1" x14ac:dyDescent="0.55000000000000004">
      <c r="B21" s="23"/>
      <c r="J21" s="10"/>
      <c r="K21" s="19"/>
    </row>
    <row r="22" spans="2:11" ht="15" thickBot="1" x14ac:dyDescent="0.4">
      <c r="B22" s="8" t="s">
        <v>64</v>
      </c>
      <c r="E22" s="22"/>
    </row>
    <row r="23" spans="2:11" ht="15.5" thickTop="1" thickBot="1" x14ac:dyDescent="0.4">
      <c r="B23" s="6" t="s">
        <v>8</v>
      </c>
      <c r="C23" s="12"/>
    </row>
    <row r="24" spans="2:11" ht="15.5" thickTop="1" thickBot="1" x14ac:dyDescent="0.4">
      <c r="B24" s="21"/>
      <c r="E24" s="22"/>
    </row>
    <row r="25" spans="2:11" ht="15" thickBot="1" x14ac:dyDescent="0.4">
      <c r="B25" s="8" t="s">
        <v>65</v>
      </c>
    </row>
    <row r="26" spans="2:11" ht="15.5" thickTop="1" thickBot="1" x14ac:dyDescent="0.4">
      <c r="B26" s="6" t="s">
        <v>8</v>
      </c>
      <c r="C26" s="12"/>
    </row>
    <row r="27" spans="2:11" ht="15" thickTop="1" x14ac:dyDescent="0.35">
      <c r="B27" s="18"/>
    </row>
    <row r="28" spans="2:11" x14ac:dyDescent="0.35">
      <c r="B28" s="18"/>
    </row>
    <row r="29" spans="2:11" x14ac:dyDescent="0.35">
      <c r="B29" s="18"/>
    </row>
    <row r="30" spans="2:11" x14ac:dyDescent="0.35">
      <c r="B30" s="18"/>
    </row>
    <row r="31" spans="2:11" x14ac:dyDescent="0.35">
      <c r="B31" s="18"/>
    </row>
    <row r="32" spans="2:11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  <row r="57" spans="2:2" x14ac:dyDescent="0.35">
      <c r="B57" s="18"/>
    </row>
    <row r="58" spans="2:2" x14ac:dyDescent="0.35">
      <c r="B58" s="18"/>
    </row>
    <row r="59" spans="2:2" x14ac:dyDescent="0.35">
      <c r="B59" s="18"/>
    </row>
    <row r="60" spans="2:2" x14ac:dyDescent="0.35">
      <c r="B60" s="18"/>
    </row>
    <row r="61" spans="2:2" x14ac:dyDescent="0.35">
      <c r="B61" s="18"/>
    </row>
    <row r="62" spans="2:2" x14ac:dyDescent="0.35">
      <c r="B62" s="18"/>
    </row>
    <row r="63" spans="2:2" x14ac:dyDescent="0.35">
      <c r="B63" s="18"/>
    </row>
    <row r="64" spans="2:2" x14ac:dyDescent="0.35">
      <c r="B64" s="18"/>
    </row>
    <row r="65" spans="2:2" x14ac:dyDescent="0.35">
      <c r="B65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K65"/>
  <sheetViews>
    <sheetView zoomScale="145" zoomScaleNormal="145" workbookViewId="0">
      <selection activeCell="D28" sqref="D28"/>
    </sheetView>
  </sheetViews>
  <sheetFormatPr defaultColWidth="10.81640625" defaultRowHeight="14.5" x14ac:dyDescent="0.35"/>
  <cols>
    <col min="2" max="2" width="17.1796875" customWidth="1"/>
    <col min="9" max="9" width="18.7265625" customWidth="1"/>
  </cols>
  <sheetData>
    <row r="2" spans="2:7" ht="21.5" thickBot="1" x14ac:dyDescent="0.55000000000000004">
      <c r="B2" s="10" t="s">
        <v>67</v>
      </c>
      <c r="C2" s="24" t="s">
        <v>66</v>
      </c>
    </row>
    <row r="3" spans="2:7" ht="15" thickBot="1" x14ac:dyDescent="0.4">
      <c r="B3" s="9" t="s">
        <v>68</v>
      </c>
    </row>
    <row r="6" spans="2:7" x14ac:dyDescent="0.35">
      <c r="B6" s="6" t="s">
        <v>3</v>
      </c>
      <c r="C6" s="6" t="s">
        <v>2</v>
      </c>
      <c r="D6" s="6" t="s">
        <v>69</v>
      </c>
      <c r="E6" s="6" t="s">
        <v>5</v>
      </c>
      <c r="F6" s="22"/>
    </row>
    <row r="7" spans="2:7" x14ac:dyDescent="0.35">
      <c r="B7" s="4">
        <v>2012</v>
      </c>
      <c r="C7" s="1">
        <v>12</v>
      </c>
      <c r="D7" s="1">
        <v>15</v>
      </c>
      <c r="E7" s="1">
        <v>6</v>
      </c>
      <c r="F7" s="1"/>
    </row>
    <row r="8" spans="2:7" x14ac:dyDescent="0.35">
      <c r="B8" s="4">
        <v>2012</v>
      </c>
      <c r="C8" s="1">
        <v>4</v>
      </c>
      <c r="D8" s="1">
        <v>1</v>
      </c>
      <c r="E8" s="1">
        <v>10.4</v>
      </c>
      <c r="F8" s="1"/>
    </row>
    <row r="9" spans="2:7" ht="15" thickBot="1" x14ac:dyDescent="0.4">
      <c r="B9" s="4">
        <v>2013</v>
      </c>
      <c r="C9" s="1">
        <v>8</v>
      </c>
      <c r="D9" s="1">
        <v>15</v>
      </c>
      <c r="E9" s="1">
        <v>7</v>
      </c>
      <c r="F9" s="1"/>
      <c r="G9" s="25"/>
    </row>
    <row r="10" spans="2:7" x14ac:dyDescent="0.35">
      <c r="B10" s="4">
        <v>2011</v>
      </c>
      <c r="C10" s="1">
        <v>11</v>
      </c>
      <c r="D10" s="1">
        <v>1</v>
      </c>
      <c r="E10" s="1">
        <v>12</v>
      </c>
      <c r="F10" s="1"/>
    </row>
    <row r="11" spans="2:7" x14ac:dyDescent="0.35">
      <c r="B11" s="4">
        <v>2011</v>
      </c>
      <c r="C11" s="1">
        <v>2</v>
      </c>
      <c r="D11" s="1">
        <v>14</v>
      </c>
      <c r="E11" s="1">
        <v>8</v>
      </c>
      <c r="F11" s="1"/>
    </row>
    <row r="12" spans="2:7" x14ac:dyDescent="0.35">
      <c r="B12" s="4">
        <v>2010</v>
      </c>
      <c r="C12" s="1">
        <v>6</v>
      </c>
      <c r="D12" s="1">
        <v>1</v>
      </c>
      <c r="E12" s="1">
        <v>15</v>
      </c>
      <c r="F12" s="1"/>
    </row>
    <row r="13" spans="2:7" x14ac:dyDescent="0.35">
      <c r="B13" s="4"/>
      <c r="C13" s="1"/>
      <c r="D13" s="1"/>
      <c r="E13" s="1"/>
    </row>
    <row r="14" spans="2:7" x14ac:dyDescent="0.35">
      <c r="B14" s="4"/>
      <c r="C14" s="1"/>
    </row>
    <row r="15" spans="2:7" ht="15" thickBot="1" x14ac:dyDescent="0.4">
      <c r="B15" s="4"/>
    </row>
    <row r="16" spans="2:7" ht="15" thickBot="1" x14ac:dyDescent="0.4">
      <c r="B16" s="8" t="s">
        <v>70</v>
      </c>
    </row>
    <row r="17" spans="2:11" ht="15.5" thickTop="1" thickBot="1" x14ac:dyDescent="0.4">
      <c r="B17" s="6" t="s">
        <v>8</v>
      </c>
      <c r="C17" s="12"/>
    </row>
    <row r="18" spans="2:11" ht="15.5" thickTop="1" thickBot="1" x14ac:dyDescent="0.4">
      <c r="E18" s="22"/>
    </row>
    <row r="19" spans="2:11" ht="15" thickBot="1" x14ac:dyDescent="0.4">
      <c r="B19" s="8" t="s">
        <v>71</v>
      </c>
    </row>
    <row r="20" spans="2:11" ht="16" customHeight="1" thickTop="1" thickBot="1" x14ac:dyDescent="0.55000000000000004">
      <c r="B20" s="6" t="s">
        <v>8</v>
      </c>
      <c r="C20" s="12"/>
      <c r="E20" s="22"/>
      <c r="J20" s="10"/>
      <c r="K20" s="19"/>
    </row>
    <row r="21" spans="2:11" ht="17.149999999999999" customHeight="1" thickTop="1" x14ac:dyDescent="0.5">
      <c r="B21" s="23"/>
      <c r="J21" s="10"/>
      <c r="K21" s="19"/>
    </row>
    <row r="22" spans="2:11" x14ac:dyDescent="0.35">
      <c r="B22" s="26"/>
      <c r="E22" s="22"/>
    </row>
    <row r="23" spans="2:11" x14ac:dyDescent="0.35">
      <c r="B23" s="22"/>
    </row>
    <row r="24" spans="2:11" x14ac:dyDescent="0.35">
      <c r="B24" s="21"/>
      <c r="E24" s="22"/>
    </row>
    <row r="25" spans="2:11" x14ac:dyDescent="0.35">
      <c r="B25" s="26"/>
    </row>
    <row r="26" spans="2:11" x14ac:dyDescent="0.35">
      <c r="B26" s="22"/>
    </row>
    <row r="27" spans="2:11" x14ac:dyDescent="0.35">
      <c r="B27" s="18"/>
    </row>
    <row r="28" spans="2:11" x14ac:dyDescent="0.35">
      <c r="B28" s="18"/>
    </row>
    <row r="29" spans="2:11" x14ac:dyDescent="0.35">
      <c r="B29" s="18"/>
    </row>
    <row r="30" spans="2:11" x14ac:dyDescent="0.35">
      <c r="B30" s="18"/>
    </row>
    <row r="31" spans="2:11" x14ac:dyDescent="0.35">
      <c r="B31" s="18"/>
    </row>
    <row r="32" spans="2:11" x14ac:dyDescent="0.35">
      <c r="B32" s="18"/>
    </row>
    <row r="33" spans="2:2" x14ac:dyDescent="0.35">
      <c r="B33" s="18"/>
    </row>
    <row r="34" spans="2:2" x14ac:dyDescent="0.35">
      <c r="B34" s="18"/>
    </row>
    <row r="35" spans="2:2" x14ac:dyDescent="0.35">
      <c r="B35" s="18"/>
    </row>
    <row r="36" spans="2:2" x14ac:dyDescent="0.35">
      <c r="B36" s="18"/>
    </row>
    <row r="37" spans="2:2" x14ac:dyDescent="0.35">
      <c r="B37" s="18"/>
    </row>
    <row r="38" spans="2:2" x14ac:dyDescent="0.35">
      <c r="B38" s="18"/>
    </row>
    <row r="39" spans="2:2" x14ac:dyDescent="0.35">
      <c r="B39" s="18"/>
    </row>
    <row r="40" spans="2:2" x14ac:dyDescent="0.35">
      <c r="B40" s="18"/>
    </row>
    <row r="41" spans="2:2" x14ac:dyDescent="0.35">
      <c r="B41" s="18"/>
    </row>
    <row r="42" spans="2:2" x14ac:dyDescent="0.35">
      <c r="B42" s="18"/>
    </row>
    <row r="43" spans="2:2" x14ac:dyDescent="0.35">
      <c r="B43" s="18"/>
    </row>
    <row r="44" spans="2:2" x14ac:dyDescent="0.35">
      <c r="B44" s="18"/>
    </row>
    <row r="45" spans="2:2" x14ac:dyDescent="0.35">
      <c r="B45" s="18"/>
    </row>
    <row r="46" spans="2:2" x14ac:dyDescent="0.35">
      <c r="B46" s="18"/>
    </row>
    <row r="47" spans="2:2" x14ac:dyDescent="0.35">
      <c r="B47" s="18"/>
    </row>
    <row r="48" spans="2:2" x14ac:dyDescent="0.35">
      <c r="B48" s="18"/>
    </row>
    <row r="49" spans="2:2" x14ac:dyDescent="0.35">
      <c r="B49" s="18"/>
    </row>
    <row r="50" spans="2:2" x14ac:dyDescent="0.35">
      <c r="B50" s="18"/>
    </row>
    <row r="51" spans="2:2" x14ac:dyDescent="0.35">
      <c r="B51" s="18"/>
    </row>
    <row r="52" spans="2:2" x14ac:dyDescent="0.35">
      <c r="B52" s="18"/>
    </row>
    <row r="53" spans="2:2" x14ac:dyDescent="0.35">
      <c r="B53" s="18"/>
    </row>
    <row r="54" spans="2:2" x14ac:dyDescent="0.35">
      <c r="B54" s="18"/>
    </row>
    <row r="55" spans="2:2" x14ac:dyDescent="0.35">
      <c r="B55" s="18"/>
    </row>
    <row r="56" spans="2:2" x14ac:dyDescent="0.35">
      <c r="B56" s="18"/>
    </row>
    <row r="57" spans="2:2" x14ac:dyDescent="0.35">
      <c r="B57" s="18"/>
    </row>
    <row r="58" spans="2:2" x14ac:dyDescent="0.35">
      <c r="B58" s="18"/>
    </row>
    <row r="59" spans="2:2" x14ac:dyDescent="0.35">
      <c r="B59" s="18"/>
    </row>
    <row r="60" spans="2:2" x14ac:dyDescent="0.35">
      <c r="B60" s="18"/>
    </row>
    <row r="61" spans="2:2" x14ac:dyDescent="0.35">
      <c r="B61" s="18"/>
    </row>
    <row r="62" spans="2:2" x14ac:dyDescent="0.35">
      <c r="B62" s="18"/>
    </row>
    <row r="63" spans="2:2" x14ac:dyDescent="0.35">
      <c r="B63" s="18"/>
    </row>
    <row r="64" spans="2:2" x14ac:dyDescent="0.35">
      <c r="B64" s="18"/>
    </row>
    <row r="65" spans="2:2" x14ac:dyDescent="0.35">
      <c r="B65" s="18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Props1.xml><?xml version="1.0" encoding="utf-8"?>
<ds:datastoreItem xmlns:ds="http://schemas.openxmlformats.org/officeDocument/2006/customXml" ds:itemID="{53AAC735-9161-4F1F-828B-70E0BDAC5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20F0C-F240-4FC0-9A45-363409471220}"/>
</file>

<file path=customXml/itemProps3.xml><?xml version="1.0" encoding="utf-8"?>
<ds:datastoreItem xmlns:ds="http://schemas.openxmlformats.org/officeDocument/2006/customXml" ds:itemID="{751F7C59-1F79-452D-BDF9-C9D87746AE77}">
  <ds:schemaRefs>
    <ds:schemaRef ds:uri="http://schemas.microsoft.com/office/2006/metadata/properties"/>
    <ds:schemaRef ds:uri="http://schemas.microsoft.com/office/infopath/2007/PartnerControls"/>
    <ds:schemaRef ds:uri="76c91d98-7809-481a-a1ac-bd62ec4f59fb"/>
    <ds:schemaRef ds:uri="85e6ab8e-cbd2-4a96-93f4-452498ebce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</vt:lpstr>
      <vt:lpstr>SUMIF_RAW</vt:lpstr>
      <vt:lpstr>SUMIF_SOLVED</vt:lpstr>
      <vt:lpstr>COUNT_RAW</vt:lpstr>
      <vt:lpstr>COUNT_SOLVED</vt:lpstr>
      <vt:lpstr>COUNTA_RAW</vt:lpstr>
      <vt:lpstr>COUNTA_SOLVED</vt:lpstr>
      <vt:lpstr>COUNTIF_RAW</vt:lpstr>
      <vt:lpstr>COUNTIFS_RAW</vt:lpstr>
      <vt:lpstr>AVERAGEIFS_RAW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2022-10-13T06:04:03Z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0x01010024073E82C5C590418396DC255F0DC745</vt:lpwstr>
  </property>
  <property fmtid="{D5CDD505-2E9C-101B-9397-08002B2CF9AE}" pid="3" name="MediaServiceImageTags">
    <vt:lpwstr/>
  </property>
</Properties>
</file>