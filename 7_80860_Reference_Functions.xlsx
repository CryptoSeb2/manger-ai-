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 2023-24/EXCEL_Year1/EXCEL/Session8/"/>
    </mc:Choice>
  </mc:AlternateContent>
  <xr:revisionPtr revIDLastSave="0" documentId="13_ncr:1_{74E874B5-3CE4-4A4E-8065-164538E449BF}" xr6:coauthVersionLast="47" xr6:coauthVersionMax="47" xr10:uidLastSave="{00000000-0000-0000-0000-000000000000}"/>
  <bookViews>
    <workbookView xWindow="-10605" yWindow="-21720" windowWidth="51840" windowHeight="21240" xr2:uid="{0AC9F693-6CB9-46F6-94AD-A39040CAE16C}"/>
  </bookViews>
  <sheets>
    <sheet name="Content" sheetId="1" r:id="rId1"/>
    <sheet name="OFFSET_RAW" sheetId="2" r:id="rId2"/>
    <sheet name="OFFSET_SOLVED" sheetId="3" r:id="rId3"/>
    <sheet name="INDIRECT_RAW" sheetId="4" r:id="rId4"/>
    <sheet name="INDIRECT_SOLVED" sheetId="5" r:id="rId5"/>
    <sheet name="ROWS_COLUMNS_RAW" sheetId="8" r:id="rId6"/>
    <sheet name="ROWS_COLUMNS_SOLVED" sheetId="9" r:id="rId7"/>
  </sheets>
  <definedNames>
    <definedName name="Personnel">INDIRECT_RAW!$B$10:$I$15</definedName>
    <definedName name="Salary">INDIRECT_RAW!$B$17:$I$22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9" l="1"/>
  <c r="E40" i="9"/>
  <c r="E41" i="9"/>
  <c r="F34" i="9"/>
  <c r="E34" i="9"/>
  <c r="D34" i="9"/>
  <c r="C34" i="9"/>
  <c r="F33" i="9"/>
  <c r="E33" i="9"/>
  <c r="D33" i="9"/>
  <c r="C33" i="9"/>
  <c r="F32" i="9"/>
  <c r="E32" i="9"/>
  <c r="D32" i="9"/>
  <c r="C32" i="9"/>
  <c r="D17" i="9"/>
  <c r="D16" i="9"/>
  <c r="D15" i="9"/>
  <c r="D14" i="9"/>
  <c r="D13" i="9"/>
  <c r="D12" i="9"/>
  <c r="I22" i="5"/>
  <c r="H22" i="5"/>
  <c r="G22" i="5"/>
  <c r="F22" i="5"/>
  <c r="E22" i="5"/>
  <c r="D22" i="5"/>
  <c r="C22" i="5"/>
  <c r="I15" i="5"/>
  <c r="H15" i="5"/>
  <c r="G15" i="5"/>
  <c r="F15" i="5"/>
  <c r="E15" i="5"/>
  <c r="D15" i="5"/>
  <c r="C15" i="5"/>
  <c r="C6" i="5"/>
  <c r="D22" i="4"/>
  <c r="E22" i="4"/>
  <c r="F22" i="4"/>
  <c r="G22" i="4"/>
  <c r="H22" i="4"/>
  <c r="I22" i="4"/>
  <c r="C22" i="4"/>
  <c r="D15" i="4"/>
  <c r="E15" i="4"/>
  <c r="F15" i="4"/>
  <c r="G15" i="4"/>
  <c r="H15" i="4"/>
  <c r="I15" i="4"/>
  <c r="C15" i="4"/>
  <c r="E41" i="2"/>
  <c r="G49" i="2"/>
  <c r="G53" i="2" s="1"/>
  <c r="F49" i="2"/>
  <c r="F53" i="2" s="1"/>
  <c r="E49" i="2"/>
  <c r="E53" i="2" s="1"/>
  <c r="D49" i="2"/>
  <c r="D53" i="2" s="1"/>
  <c r="C49" i="2"/>
  <c r="C53" i="2" s="1"/>
  <c r="C54" i="2" s="1"/>
  <c r="E41" i="3"/>
  <c r="C42" i="3" s="1"/>
  <c r="E54" i="3"/>
  <c r="E55" i="3" s="1"/>
  <c r="E53" i="3"/>
  <c r="C53" i="3"/>
  <c r="C54" i="3" s="1"/>
  <c r="G49" i="3"/>
  <c r="G53" i="3" s="1"/>
  <c r="F49" i="3"/>
  <c r="F53" i="3" s="1"/>
  <c r="E49" i="3"/>
  <c r="D49" i="3"/>
  <c r="D53" i="3" s="1"/>
  <c r="C49" i="3"/>
  <c r="H11" i="3"/>
  <c r="C29" i="3"/>
  <c r="D29" i="3"/>
  <c r="E29" i="3"/>
  <c r="F29" i="3"/>
  <c r="G29" i="3"/>
  <c r="E36" i="3"/>
  <c r="E35" i="3"/>
  <c r="E37" i="3" s="1"/>
  <c r="C35" i="3"/>
  <c r="C36" i="3" s="1"/>
  <c r="G31" i="3"/>
  <c r="G35" i="3" s="1"/>
  <c r="F31" i="3"/>
  <c r="F35" i="3" s="1"/>
  <c r="E31" i="3"/>
  <c r="D31" i="3"/>
  <c r="D35" i="3" s="1"/>
  <c r="C31" i="3"/>
  <c r="B29" i="3"/>
  <c r="B28" i="2"/>
  <c r="E34" i="2"/>
  <c r="E35" i="2" s="1"/>
  <c r="G30" i="2"/>
  <c r="G34" i="2" s="1"/>
  <c r="F30" i="2"/>
  <c r="F34" i="2" s="1"/>
  <c r="E30" i="2"/>
  <c r="D30" i="2"/>
  <c r="D34" i="2" s="1"/>
  <c r="D35" i="2" s="1"/>
  <c r="D36" i="2" s="1"/>
  <c r="C30" i="2"/>
  <c r="C34" i="2" s="1"/>
  <c r="C35" i="2" s="1"/>
  <c r="I12" i="3"/>
  <c r="I13" i="3"/>
  <c r="I14" i="3"/>
  <c r="I15" i="3"/>
  <c r="I16" i="3"/>
  <c r="I17" i="3"/>
  <c r="I18" i="3"/>
  <c r="I19" i="3"/>
  <c r="H16" i="3"/>
  <c r="H15" i="3"/>
  <c r="H14" i="3"/>
  <c r="G13" i="3"/>
  <c r="G17" i="3" s="1"/>
  <c r="F13" i="3"/>
  <c r="F17" i="3" s="1"/>
  <c r="E13" i="3"/>
  <c r="E17" i="3" s="1"/>
  <c r="D13" i="3"/>
  <c r="D17" i="3" s="1"/>
  <c r="C13" i="3"/>
  <c r="C17" i="3" s="1"/>
  <c r="H12" i="3"/>
  <c r="I11" i="3"/>
  <c r="I10" i="3"/>
  <c r="H10" i="3"/>
  <c r="I10" i="2"/>
  <c r="H10" i="2"/>
  <c r="D13" i="2"/>
  <c r="D17" i="2" s="1"/>
  <c r="E13" i="2"/>
  <c r="E17" i="2" s="1"/>
  <c r="F13" i="2"/>
  <c r="F17" i="2" s="1"/>
  <c r="G13" i="2"/>
  <c r="G17" i="2" s="1"/>
  <c r="C13" i="2"/>
  <c r="C17" i="2" s="1"/>
  <c r="D27" i="5"/>
  <c r="C8" i="5" a="1"/>
  <c r="D35" i="5"/>
  <c r="D36" i="5"/>
  <c r="C27" i="5"/>
  <c r="C36" i="5"/>
  <c r="C28" i="5"/>
  <c r="C7" i="5" a="1"/>
  <c r="D28" i="5"/>
  <c r="C35" i="5"/>
  <c r="C8" i="5" l="1"/>
  <c r="C7" i="5"/>
  <c r="E54" i="2"/>
  <c r="E55" i="2" s="1"/>
  <c r="F54" i="2"/>
  <c r="F55" i="2" s="1"/>
  <c r="D54" i="2"/>
  <c r="D55" i="2" s="1"/>
  <c r="G54" i="2"/>
  <c r="G55" i="2" s="1"/>
  <c r="C55" i="2"/>
  <c r="F55" i="3"/>
  <c r="F54" i="3"/>
  <c r="D54" i="3"/>
  <c r="D55" i="3" s="1"/>
  <c r="G54" i="3"/>
  <c r="G55" i="3" s="1"/>
  <c r="C55" i="3"/>
  <c r="G36" i="3"/>
  <c r="G37" i="3" s="1"/>
  <c r="F36" i="3"/>
  <c r="F37" i="3" s="1"/>
  <c r="D36" i="3"/>
  <c r="D37" i="3" s="1"/>
  <c r="C37" i="3"/>
  <c r="E36" i="2"/>
  <c r="F35" i="2"/>
  <c r="F36" i="2" s="1"/>
  <c r="G35" i="2"/>
  <c r="G36" i="2" s="1"/>
  <c r="C36" i="2"/>
  <c r="E18" i="3"/>
  <c r="E19" i="3" s="1"/>
  <c r="C18" i="3"/>
  <c r="H18" i="3" s="1"/>
  <c r="H17" i="3"/>
  <c r="D18" i="3"/>
  <c r="D19" i="3" s="1"/>
  <c r="F18" i="3"/>
  <c r="F19" i="3" s="1"/>
  <c r="G18" i="3"/>
  <c r="G19" i="3" s="1"/>
  <c r="H13" i="3"/>
  <c r="C18" i="2"/>
  <c r="F18" i="2"/>
  <c r="F19" i="2" s="1"/>
  <c r="G18" i="2"/>
  <c r="G19" i="2"/>
  <c r="E18" i="2"/>
  <c r="E19" i="2" s="1"/>
  <c r="D18" i="2"/>
  <c r="D19" i="2" s="1"/>
  <c r="C19" i="3" l="1"/>
  <c r="H19" i="3" s="1"/>
  <c r="C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<sst xmlns="http://schemas.openxmlformats.org/spreadsheetml/2006/main" count="284" uniqueCount="96">
  <si>
    <t>Reference Functions</t>
  </si>
  <si>
    <t>Functions Training</t>
  </si>
  <si>
    <t>OFFSET</t>
  </si>
  <si>
    <t>INDIRECT</t>
  </si>
  <si>
    <t>ROW/ROWS</t>
  </si>
  <si>
    <t>COLUMN/COLUMNS</t>
  </si>
  <si>
    <t>OFFSET(reference, rows, cols, [height], [width])</t>
  </si>
  <si>
    <t>OFFSET()</t>
  </si>
  <si>
    <t>Returns a reference to a range that is a specified number of rows and columns from a cell or range of cells. The reference that is returned can be a single cell or a range of cells. You can specify the number of rows and the number of columns to be returned.</t>
  </si>
  <si>
    <t>The following Income Statement Info is provided</t>
  </si>
  <si>
    <t>Calculate Total and Averages as a function of the number of years backwards</t>
  </si>
  <si>
    <t>Number of Years Backwards</t>
  </si>
  <si>
    <t>Revenue</t>
  </si>
  <si>
    <t>COGS</t>
  </si>
  <si>
    <t>Gross Profit</t>
  </si>
  <si>
    <t>Salaries</t>
  </si>
  <si>
    <t>Marketing</t>
  </si>
  <si>
    <t>Rent</t>
  </si>
  <si>
    <t>EBIT</t>
  </si>
  <si>
    <t>Tax</t>
  </si>
  <si>
    <t>Net Income</t>
  </si>
  <si>
    <t>All numbers in $M</t>
  </si>
  <si>
    <t>Income Statement</t>
  </si>
  <si>
    <t>Calculate Total and Simple Moving Averages (SMA) as a function of the number of years backwards</t>
  </si>
  <si>
    <t>Let's get it trickier. Now lets calculate the Revenue SMA 2 Years historically</t>
  </si>
  <si>
    <t>Now, I want to use Height and Width to calculate the median of a given financial variable</t>
  </si>
  <si>
    <t>Variable Name</t>
  </si>
  <si>
    <t>Median 5Y Value</t>
  </si>
  <si>
    <t>At row</t>
  </si>
  <si>
    <t>INDIRECT()</t>
  </si>
  <si>
    <t>References are immediately evaluated to display their contents.</t>
  </si>
  <si>
    <t xml:space="preserve">Returns the reference specified by a text string.  </t>
  </si>
  <si>
    <t>Use INDIRECT when you want to change the reference to a cell within a formula without changing the formula itself.</t>
  </si>
  <si>
    <t>INDIRECT(ref_text, [a1])</t>
  </si>
  <si>
    <t>Management</t>
  </si>
  <si>
    <t>Staff</t>
  </si>
  <si>
    <t>Admin Personnel</t>
  </si>
  <si>
    <t>Company</t>
  </si>
  <si>
    <t>A</t>
  </si>
  <si>
    <t>G</t>
  </si>
  <si>
    <t>F</t>
  </si>
  <si>
    <t>B</t>
  </si>
  <si>
    <t>C</t>
  </si>
  <si>
    <t>D</t>
  </si>
  <si>
    <t>E</t>
  </si>
  <si>
    <t>Number of employees</t>
  </si>
  <si>
    <t>a) Select Staff of Company B</t>
  </si>
  <si>
    <t>b) Now do It with INDIRECT(Cell reference)</t>
  </si>
  <si>
    <t>c) Now do it like INDIRECT("Cell reference")</t>
  </si>
  <si>
    <t>Average Salaries in Thousands</t>
  </si>
  <si>
    <t>Average Salary</t>
  </si>
  <si>
    <t>Personnel</t>
  </si>
  <si>
    <t>Salary</t>
  </si>
  <si>
    <t>Now, try to do it general for any company you desire</t>
  </si>
  <si>
    <t>*Beware we did a Cell Reference with the table selection</t>
  </si>
  <si>
    <r>
      <t xml:space="preserve">Now, lets fill the following table using INDIRECT and VLOOKUP () to find </t>
    </r>
    <r>
      <rPr>
        <b/>
        <sz val="11"/>
        <color theme="1"/>
        <rFont val="Consolas"/>
        <family val="3"/>
      </rPr>
      <t>Company B</t>
    </r>
    <r>
      <rPr>
        <sz val="11"/>
        <color theme="1"/>
        <rFont val="Consolas"/>
        <family val="3"/>
      </rPr>
      <t xml:space="preserve"> Info</t>
    </r>
  </si>
  <si>
    <t>*Hint: Use Match() &amp; Index() Functions</t>
  </si>
  <si>
    <t>Total Employees</t>
  </si>
  <si>
    <t>Company:</t>
  </si>
  <si>
    <t>ROW()</t>
  </si>
  <si>
    <t>Returns the row number of a reference.</t>
  </si>
  <si>
    <t>ROW([reference])</t>
  </si>
  <si>
    <t>ROWS()</t>
  </si>
  <si>
    <t>Returns the number of rows in a reference or array.</t>
  </si>
  <si>
    <t>ROWS(array)</t>
  </si>
  <si>
    <t>COLUMN()</t>
  </si>
  <si>
    <t>COLUMNS()</t>
  </si>
  <si>
    <t>Returns the column number of a reference.</t>
  </si>
  <si>
    <t>Returns the number of columns in a reference or array.</t>
  </si>
  <si>
    <t>COLUMNS(array)</t>
  </si>
  <si>
    <t>COLUMN([reference])</t>
  </si>
  <si>
    <t>This is row:</t>
  </si>
  <si>
    <t>This is column:</t>
  </si>
  <si>
    <t>C12 is in row:</t>
  </si>
  <si>
    <t>Let's see some easy examples:</t>
  </si>
  <si>
    <t>C12 is in column:</t>
  </si>
  <si>
    <t>C12:D24 has…</t>
  </si>
  <si>
    <t>rows</t>
  </si>
  <si>
    <t>columns</t>
  </si>
  <si>
    <t>Let's see a practical example…</t>
  </si>
  <si>
    <t>Product</t>
  </si>
  <si>
    <t>North</t>
  </si>
  <si>
    <t>South</t>
  </si>
  <si>
    <t>East</t>
  </si>
  <si>
    <t>West</t>
  </si>
  <si>
    <t>Bike Racks</t>
  </si>
  <si>
    <t>Helmets</t>
  </si>
  <si>
    <t>Locks</t>
  </si>
  <si>
    <t>Chains</t>
  </si>
  <si>
    <t>Handlebars</t>
  </si>
  <si>
    <t>Find the info by using VLOOKUP() and COLUMN/COLUMNS():</t>
  </si>
  <si>
    <t>Now, get the three smallest values of Sales by using SMALL() function and ROW()</t>
  </si>
  <si>
    <t>Sales</t>
  </si>
  <si>
    <t>Value 1</t>
  </si>
  <si>
    <t>Value 2</t>
  </si>
  <si>
    <t>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</si>
</sst>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24"/>
      <color theme="1"/>
      <name val="Consolas"/>
      <family val="3"/>
    </font>
    <font>
      <sz val="14"/>
      <color theme="1"/>
      <name val="Consolas"/>
      <family val="3"/>
    </font>
    <font>
      <b/>
      <sz val="11"/>
      <color theme="1"/>
      <name val="Consolas"/>
      <family val="3"/>
    </font>
    <font>
      <sz val="12"/>
      <color theme="1"/>
      <name val="Consolas"/>
      <family val="3"/>
    </font>
    <font>
      <sz val="20"/>
      <color theme="1"/>
      <name val="Consolas"/>
      <family val="3"/>
    </font>
    <font>
      <sz val="12"/>
      <color rgb="FF1E1E1E"/>
      <name val="Consolas"/>
      <family val="3"/>
    </font>
    <font>
      <sz val="14"/>
      <color rgb="FF1E1E1E"/>
      <name val="Consolas"/>
      <family val="3"/>
    </font>
    <font>
      <b/>
      <sz val="2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2" borderId="2" xfId="0" applyFont="1" applyFill="1" applyBorder="1"/>
    <xf numFmtId="0" fontId="8" fillId="2" borderId="3" xfId="0" applyFont="1" applyFill="1" applyBorder="1"/>
    <xf numFmtId="0" fontId="8" fillId="0" borderId="1" xfId="0" applyFont="1" applyBorder="1"/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right"/>
    </xf>
    <xf numFmtId="164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4" fontId="5" fillId="5" borderId="1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5" borderId="5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/>
    </xf>
    <xf numFmtId="0" fontId="8" fillId="3" borderId="1" xfId="0" applyFont="1" applyFill="1" applyBorder="1" applyAlignment="1">
      <alignment horizontal="right"/>
    </xf>
    <xf numFmtId="0" fontId="8" fillId="7" borderId="1" xfId="0" applyFont="1" applyFill="1" applyBorder="1" applyAlignment="1">
      <alignment horizontal="center"/>
    </xf>
    <xf numFmtId="44" fontId="8" fillId="7" borderId="1" xfId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8" fillId="3" borderId="6" xfId="0" applyFont="1" applyFill="1" applyBorder="1" applyAlignment="1">
      <alignment horizontal="center"/>
    </xf>
    <xf numFmtId="0" fontId="8" fillId="0" borderId="0" xfId="0" applyFont="1"/>
    <xf numFmtId="0" fontId="8" fillId="3" borderId="1" xfId="0" applyFont="1" applyFill="1" applyBorder="1"/>
    <xf numFmtId="0" fontId="8" fillId="3" borderId="6" xfId="0" applyFont="1" applyFill="1" applyBorder="1"/>
    <xf numFmtId="0" fontId="5" fillId="5" borderId="1" xfId="0" applyFont="1" applyFill="1" applyBorder="1"/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right" wrapText="1"/>
    </xf>
    <xf numFmtId="0" fontId="8" fillId="3" borderId="2" xfId="0" applyFont="1" applyFill="1" applyBorder="1" applyAlignment="1">
      <alignment horizontal="right" wrapText="1"/>
    </xf>
    <xf numFmtId="0" fontId="13" fillId="0" borderId="0" xfId="0" applyFont="1"/>
    <xf numFmtId="0" fontId="12" fillId="0" borderId="4" xfId="0" applyFont="1" applyBorder="1"/>
    <xf numFmtId="0" fontId="5" fillId="0" borderId="4" xfId="0" applyFont="1" applyBorder="1"/>
    <xf numFmtId="0" fontId="7" fillId="0" borderId="4" xfId="0" applyFont="1" applyBorder="1"/>
    <xf numFmtId="0" fontId="8" fillId="3" borderId="2" xfId="0" applyFont="1" applyFill="1" applyBorder="1"/>
    <xf numFmtId="0" fontId="8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298450</xdr:colOff>
      <xdr:row>3</xdr:row>
      <xdr:rowOff>41276</xdr:rowOff>
    </xdr:from>
    <xdr:to>
      <xdr:col>6</xdr:col>
      <xdr:colOff>444500</xdr:colOff>
      <xdr:row>12</xdr:row>
      <xdr:rowOff>51992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297B62-B2CC-4672-AB92-BF05F9C2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0" y="739776"/>
          <a:ext cx="4229100" cy="1668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EA8B6-0560-4BB5-8BA7-1BD26895F1DB}" name="ProductTable" displayName="ProductTable" ref="B22:F27" totalsRowShown="0" headerRowDxfId="19" dataDxfId="18">
  <autoFilter ref="B22:F27" xr:uid="{2AAEA8B6-0560-4BB5-8BA7-1BD26895F1DB}"/>
  <tableColumns count="5">
    <tableColumn id="1" xr3:uid="{AF7241B6-4042-4416-A1E0-BCD2D835F4AC}" name="Product" dataDxfId="17"/>
    <tableColumn id="2" xr3:uid="{165CDC2F-E4F4-4A87-B1B8-0EDA199395F1}" name="North" dataDxfId="16"/>
    <tableColumn id="3" xr3:uid="{4067148E-5092-44C1-A4E5-0E2CB89489DB}" name="South" dataDxfId="15"/>
    <tableColumn id="4" xr3:uid="{62579F6B-461A-496C-8C72-09EC6BBE28B1}" name="East" dataDxfId="14"/>
    <tableColumn id="5" xr3:uid="{A942D0A3-E743-440D-915D-C0BDF2FE8205}" name="West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268F8-3425-41E4-BFC6-1671B902BC39}" name="Table2" displayName="Table2" ref="B38:B46" totalsRowShown="0" headerRowDxfId="12" dataDxfId="11">
  <autoFilter ref="B38:B46" xr:uid="{1AB268F8-3425-41E4-BFC6-1671B902BC39}"/>
  <tableColumns count="1">
    <tableColumn id="1" xr3:uid="{8D752AAB-01E0-4993-B5CF-9FB525146345}" name="Sales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FF2E63-5E77-42BD-A382-1CDAC1B6AF41}" name="ProductTable6" displayName="ProductTable6" ref="B22:F27" totalsRowShown="0" headerRowDxfId="9" dataDxfId="8">
  <autoFilter ref="B22:F27" xr:uid="{73FF2E63-5E77-42BD-A382-1CDAC1B6AF41}"/>
  <tableColumns count="5">
    <tableColumn id="1" xr3:uid="{06F1BA0D-6F10-41AB-8C34-48A87F33953B}" name="Product" dataDxfId="7"/>
    <tableColumn id="2" xr3:uid="{379C954C-7773-4A83-9DB9-C7A2963953C9}" name="North" dataDxfId="6"/>
    <tableColumn id="3" xr3:uid="{03E6352D-930C-4877-8FE9-37186540CF1F}" name="South" dataDxfId="5"/>
    <tableColumn id="4" xr3:uid="{670476E2-4F2D-4015-99D0-AC06D8DFDF61}" name="East" dataDxfId="4"/>
    <tableColumn id="5" xr3:uid="{14FABEE3-890B-4019-A6A3-C3D931500CA2}" name="West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BD7E3F-8663-43CA-B860-BA5756D1F58F}" name="Table27" displayName="Table27" ref="B38:B46" totalsRowShown="0" headerRowDxfId="2" dataDxfId="1">
  <autoFilter ref="B38:B46" xr:uid="{DDBD7E3F-8663-43CA-B860-BA5756D1F58F}"/>
  <tableColumns count="1">
    <tableColumn id="1" xr3:uid="{546FFDD8-5757-4854-A745-99D5946F3850}" name="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5CAF-BEAE-4D52-A3B8-51D023F6FE3E}">
  <dimension ref="B1:H20"/>
  <sheetViews>
    <sheetView showGridLines="0" tabSelected="1" zoomScaleNormal="100" workbookViewId="0">
      <selection activeCell="K9" sqref="K9"/>
    </sheetView>
  </sheetViews>
  <sheetFormatPr defaultRowHeight="14.5" x14ac:dyDescent="0.35"/>
  <cols>
    <col min="5" max="5" width="32.26953125" bestFit="1" customWidth="1"/>
  </cols>
  <sheetData>
    <row r="1" spans="2:8" x14ac:dyDescent="0.35">
      <c r="B1" s="1"/>
    </row>
    <row r="2" spans="2:8" x14ac:dyDescent="0.35">
      <c r="B2" s="1"/>
    </row>
    <row r="3" spans="2:8" ht="26" x14ac:dyDescent="0.6">
      <c r="B3" s="4"/>
      <c r="C3" s="4"/>
      <c r="D3" s="4"/>
      <c r="E3" s="4" t="s">
        <v>0</v>
      </c>
      <c r="F3" s="4"/>
      <c r="G3" s="4"/>
      <c r="H3" s="4"/>
    </row>
    <row r="4" spans="2:8" x14ac:dyDescent="0.35">
      <c r="B4" s="1"/>
    </row>
    <row r="5" spans="2:8" x14ac:dyDescent="0.35">
      <c r="B5" s="1"/>
    </row>
    <row r="6" spans="2:8" x14ac:dyDescent="0.35">
      <c r="B6" s="1"/>
    </row>
    <row r="7" spans="2:8" x14ac:dyDescent="0.35">
      <c r="B7" s="1"/>
    </row>
    <row r="8" spans="2:8" x14ac:dyDescent="0.35">
      <c r="B8" s="1"/>
    </row>
    <row r="9" spans="2:8" x14ac:dyDescent="0.35">
      <c r="B9" s="1"/>
    </row>
    <row r="10" spans="2:8" x14ac:dyDescent="0.35">
      <c r="B10" s="1"/>
    </row>
    <row r="11" spans="2:8" x14ac:dyDescent="0.35">
      <c r="B11" s="1"/>
    </row>
    <row r="12" spans="2:8" x14ac:dyDescent="0.35">
      <c r="B12" s="1"/>
    </row>
    <row r="13" spans="2:8" x14ac:dyDescent="0.35">
      <c r="B13" s="1"/>
    </row>
    <row r="14" spans="2:8" ht="21" x14ac:dyDescent="0.5">
      <c r="B14" s="1"/>
      <c r="E14" s="2" t="s">
        <v>1</v>
      </c>
    </row>
    <row r="15" spans="2:8" ht="21" x14ac:dyDescent="0.5">
      <c r="B15" s="1"/>
      <c r="E15" s="3" t="s">
        <v>2</v>
      </c>
    </row>
    <row r="16" spans="2:8" ht="21" x14ac:dyDescent="0.5">
      <c r="B16" s="2"/>
      <c r="C16" s="2"/>
      <c r="D16" s="2"/>
      <c r="E16" s="3" t="s">
        <v>3</v>
      </c>
      <c r="F16" s="2"/>
      <c r="G16" s="2"/>
      <c r="H16" s="2"/>
    </row>
    <row r="17" spans="2:8" ht="21" x14ac:dyDescent="0.5">
      <c r="B17" s="3"/>
      <c r="C17" s="3"/>
      <c r="D17" s="3"/>
      <c r="E17" s="3" t="s">
        <v>4</v>
      </c>
      <c r="F17" s="3"/>
      <c r="G17" s="3"/>
      <c r="H17" s="3"/>
    </row>
    <row r="18" spans="2:8" ht="21" x14ac:dyDescent="0.5">
      <c r="B18" s="3"/>
      <c r="C18" s="3"/>
      <c r="D18" s="3"/>
      <c r="E18" s="3" t="s">
        <v>5</v>
      </c>
      <c r="F18" s="3"/>
      <c r="G18" s="3"/>
      <c r="H18" s="3"/>
    </row>
    <row r="19" spans="2:8" ht="21" x14ac:dyDescent="0.5">
      <c r="B19" s="3"/>
      <c r="C19" s="3"/>
      <c r="D19" s="3"/>
      <c r="F19" s="3"/>
      <c r="G19" s="3"/>
      <c r="H19" s="1"/>
    </row>
    <row r="20" spans="2:8" ht="21" x14ac:dyDescent="0.5">
      <c r="B20" s="3"/>
      <c r="C20" s="3"/>
      <c r="D20" s="3"/>
      <c r="F20" s="3"/>
      <c r="G20" s="3"/>
      <c r="H2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6A70-F9BF-4AAA-9EA8-F4E390BDA4B8}">
  <dimension ref="A1:I55"/>
  <sheetViews>
    <sheetView workbookViewId="0">
      <selection activeCell="D3" sqref="D3"/>
    </sheetView>
  </sheetViews>
  <sheetFormatPr defaultRowHeight="14.5" x14ac:dyDescent="0.35"/>
  <cols>
    <col min="1" max="1" width="8.7265625" style="5"/>
    <col min="2" max="2" width="20.36328125" style="5" customWidth="1"/>
    <col min="3" max="7" width="12.6328125" style="5" customWidth="1"/>
    <col min="8" max="8" width="9.54296875" style="5" bestFit="1" customWidth="1"/>
    <col min="9" max="16384" width="8.7265625" style="5"/>
  </cols>
  <sheetData>
    <row r="1" spans="1:9" ht="30.5" x14ac:dyDescent="0.65">
      <c r="A1" s="6" t="s">
        <v>7</v>
      </c>
      <c r="C1" s="5" t="s">
        <v>8</v>
      </c>
    </row>
    <row r="2" spans="1:9" ht="18" x14ac:dyDescent="0.4">
      <c r="C2" s="40" t="s">
        <v>6</v>
      </c>
      <c r="D2" s="39"/>
      <c r="E2" s="39"/>
      <c r="F2" s="39"/>
      <c r="G2" s="39"/>
    </row>
    <row r="4" spans="1:9" x14ac:dyDescent="0.35">
      <c r="B4" s="5" t="s">
        <v>9</v>
      </c>
    </row>
    <row r="5" spans="1:9" x14ac:dyDescent="0.35">
      <c r="B5" s="5" t="s">
        <v>23</v>
      </c>
    </row>
    <row r="7" spans="1:9" x14ac:dyDescent="0.35">
      <c r="B7" s="7" t="s">
        <v>11</v>
      </c>
      <c r="C7" s="8"/>
      <c r="D7" s="9">
        <v>5</v>
      </c>
    </row>
    <row r="9" spans="1:9" x14ac:dyDescent="0.35">
      <c r="B9" s="5" t="s">
        <v>21</v>
      </c>
    </row>
    <row r="10" spans="1:9" x14ac:dyDescent="0.35">
      <c r="B10" s="10" t="s">
        <v>22</v>
      </c>
      <c r="C10" s="10">
        <v>2019</v>
      </c>
      <c r="D10" s="10">
        <v>2020</v>
      </c>
      <c r="E10" s="10">
        <v>2021</v>
      </c>
      <c r="F10" s="10">
        <v>2022</v>
      </c>
      <c r="G10" s="10">
        <v>2023</v>
      </c>
      <c r="H10" s="10" t="str">
        <f>"Total "&amp;D7&amp;"Y"</f>
        <v>Total 5Y</v>
      </c>
      <c r="I10" s="10" t="str">
        <f>"SMA "&amp;D7&amp;"Y"</f>
        <v>SMA 5Y</v>
      </c>
    </row>
    <row r="11" spans="1:9" x14ac:dyDescent="0.35">
      <c r="B11" s="11" t="s">
        <v>12</v>
      </c>
      <c r="C11" s="12">
        <v>100500</v>
      </c>
      <c r="D11" s="12">
        <v>110148</v>
      </c>
      <c r="E11" s="12">
        <v>120832</v>
      </c>
      <c r="F11" s="12">
        <v>131707</v>
      </c>
      <c r="G11" s="12">
        <v>141524</v>
      </c>
      <c r="H11" s="14"/>
      <c r="I11" s="14"/>
    </row>
    <row r="12" spans="1:9" x14ac:dyDescent="0.35">
      <c r="B12" s="11" t="s">
        <v>13</v>
      </c>
      <c r="C12" s="12">
        <v>38672</v>
      </c>
      <c r="D12" s="12">
        <v>41321</v>
      </c>
      <c r="E12" s="12">
        <v>60452</v>
      </c>
      <c r="F12" s="12">
        <v>55499</v>
      </c>
      <c r="G12" s="12">
        <v>56320</v>
      </c>
      <c r="H12" s="14"/>
      <c r="I12" s="14"/>
    </row>
    <row r="13" spans="1:9" x14ac:dyDescent="0.35">
      <c r="B13" s="11" t="s">
        <v>14</v>
      </c>
      <c r="C13" s="12">
        <f>C11-C12</f>
        <v>61828</v>
      </c>
      <c r="D13" s="12">
        <f t="shared" ref="D13:G13" si="0">D11-D12</f>
        <v>68827</v>
      </c>
      <c r="E13" s="12">
        <f t="shared" si="0"/>
        <v>60380</v>
      </c>
      <c r="F13" s="12">
        <f t="shared" si="0"/>
        <v>76208</v>
      </c>
      <c r="G13" s="12">
        <f t="shared" si="0"/>
        <v>85204</v>
      </c>
      <c r="H13" s="14"/>
      <c r="I13" s="14"/>
    </row>
    <row r="14" spans="1:9" x14ac:dyDescent="0.35">
      <c r="B14" s="11" t="s">
        <v>15</v>
      </c>
      <c r="C14" s="12">
        <v>23799</v>
      </c>
      <c r="D14" s="12">
        <v>26812</v>
      </c>
      <c r="E14" s="12">
        <v>27859</v>
      </c>
      <c r="F14" s="12">
        <v>28859</v>
      </c>
      <c r="G14" s="12">
        <v>29463</v>
      </c>
      <c r="H14" s="14"/>
      <c r="I14" s="14"/>
    </row>
    <row r="15" spans="1:9" x14ac:dyDescent="0.35">
      <c r="B15" s="11" t="s">
        <v>16</v>
      </c>
      <c r="C15" s="12">
        <v>12945</v>
      </c>
      <c r="D15" s="12">
        <v>14041</v>
      </c>
      <c r="E15" s="12">
        <v>15488</v>
      </c>
      <c r="F15" s="12">
        <v>17451</v>
      </c>
      <c r="G15" s="12">
        <v>19032</v>
      </c>
      <c r="H15" s="14"/>
      <c r="I15" s="14"/>
    </row>
    <row r="16" spans="1:9" x14ac:dyDescent="0.35">
      <c r="B16" s="11" t="s">
        <v>17</v>
      </c>
      <c r="C16" s="12">
        <v>5000</v>
      </c>
      <c r="D16" s="12">
        <v>5000</v>
      </c>
      <c r="E16" s="12">
        <v>5000</v>
      </c>
      <c r="F16" s="12">
        <v>5100</v>
      </c>
      <c r="G16" s="12">
        <v>5100</v>
      </c>
      <c r="H16" s="14"/>
      <c r="I16" s="14"/>
    </row>
    <row r="17" spans="2:9" x14ac:dyDescent="0.35">
      <c r="B17" s="11" t="s">
        <v>18</v>
      </c>
      <c r="C17" s="12">
        <f>C13-SUM(C14:C16)</f>
        <v>20084</v>
      </c>
      <c r="D17" s="12">
        <f t="shared" ref="D17:G17" si="1">D13-SUM(D14:D16)</f>
        <v>22974</v>
      </c>
      <c r="E17" s="12">
        <f t="shared" si="1"/>
        <v>12033</v>
      </c>
      <c r="F17" s="12">
        <f t="shared" si="1"/>
        <v>24798</v>
      </c>
      <c r="G17" s="12">
        <f t="shared" si="1"/>
        <v>31609</v>
      </c>
      <c r="H17" s="14"/>
      <c r="I17" s="14"/>
    </row>
    <row r="18" spans="2:9" x14ac:dyDescent="0.35">
      <c r="B18" s="11" t="s">
        <v>19</v>
      </c>
      <c r="C18" s="12">
        <f>C17*0.25</f>
        <v>5021</v>
      </c>
      <c r="D18" s="12">
        <f t="shared" ref="D18:G18" si="2">D17*0.25</f>
        <v>5743.5</v>
      </c>
      <c r="E18" s="12">
        <f t="shared" si="2"/>
        <v>3008.25</v>
      </c>
      <c r="F18" s="12">
        <f t="shared" si="2"/>
        <v>6199.5</v>
      </c>
      <c r="G18" s="12">
        <f t="shared" si="2"/>
        <v>7902.25</v>
      </c>
      <c r="H18" s="14"/>
      <c r="I18" s="14"/>
    </row>
    <row r="19" spans="2:9" x14ac:dyDescent="0.35">
      <c r="B19" s="11" t="s">
        <v>20</v>
      </c>
      <c r="C19" s="12">
        <f>C17-C18</f>
        <v>15063</v>
      </c>
      <c r="D19" s="12">
        <f t="shared" ref="D19:G19" si="3">D17-D18</f>
        <v>17230.5</v>
      </c>
      <c r="E19" s="12">
        <f t="shared" si="3"/>
        <v>9024.75</v>
      </c>
      <c r="F19" s="12">
        <f t="shared" si="3"/>
        <v>18598.5</v>
      </c>
      <c r="G19" s="12">
        <f t="shared" si="3"/>
        <v>23706.75</v>
      </c>
      <c r="H19" s="14"/>
      <c r="I19" s="14"/>
    </row>
    <row r="21" spans="2:9" x14ac:dyDescent="0.35">
      <c r="B21" s="5" t="s">
        <v>24</v>
      </c>
    </row>
    <row r="23" spans="2:9" x14ac:dyDescent="0.35">
      <c r="B23" s="7" t="s">
        <v>11</v>
      </c>
      <c r="C23" s="8"/>
      <c r="D23" s="9">
        <v>2</v>
      </c>
    </row>
    <row r="25" spans="2:9" x14ac:dyDescent="0.35">
      <c r="B25" s="5" t="s">
        <v>21</v>
      </c>
    </row>
    <row r="26" spans="2:9" x14ac:dyDescent="0.35">
      <c r="B26" s="10" t="s">
        <v>22</v>
      </c>
      <c r="C26" s="10">
        <v>2019</v>
      </c>
      <c r="D26" s="10">
        <v>2020</v>
      </c>
      <c r="E26" s="10">
        <v>2021</v>
      </c>
      <c r="F26" s="10">
        <v>2022</v>
      </c>
      <c r="G26" s="10">
        <v>2023</v>
      </c>
    </row>
    <row r="27" spans="2:9" x14ac:dyDescent="0.35">
      <c r="B27" s="11" t="s">
        <v>12</v>
      </c>
      <c r="C27" s="12">
        <v>100500</v>
      </c>
      <c r="D27" s="12">
        <v>110148</v>
      </c>
      <c r="E27" s="12">
        <v>120832</v>
      </c>
      <c r="F27" s="12">
        <v>131707</v>
      </c>
      <c r="G27" s="12">
        <v>141524</v>
      </c>
    </row>
    <row r="28" spans="2:9" x14ac:dyDescent="0.35">
      <c r="B28" s="11" t="str">
        <f>"SMA "&amp;D23&amp;"Y"</f>
        <v>SMA 2Y</v>
      </c>
      <c r="C28" s="15"/>
      <c r="D28" s="15"/>
      <c r="E28" s="15"/>
      <c r="F28" s="15"/>
      <c r="G28" s="15"/>
    </row>
    <row r="29" spans="2:9" x14ac:dyDescent="0.35">
      <c r="B29" s="16" t="s">
        <v>13</v>
      </c>
      <c r="C29" s="12">
        <v>38672</v>
      </c>
      <c r="D29" s="12">
        <v>41321</v>
      </c>
      <c r="E29" s="12">
        <v>60452</v>
      </c>
      <c r="F29" s="12">
        <v>55499</v>
      </c>
      <c r="G29" s="12">
        <v>56320</v>
      </c>
    </row>
    <row r="30" spans="2:9" x14ac:dyDescent="0.35">
      <c r="B30" s="16" t="s">
        <v>14</v>
      </c>
      <c r="C30" s="12">
        <f>C27-C29</f>
        <v>61828</v>
      </c>
      <c r="D30" s="12">
        <f t="shared" ref="D30" si="4">D27-D29</f>
        <v>68827</v>
      </c>
      <c r="E30" s="12">
        <f t="shared" ref="E30" si="5">E27-E29</f>
        <v>60380</v>
      </c>
      <c r="F30" s="12">
        <f t="shared" ref="F30" si="6">F27-F29</f>
        <v>76208</v>
      </c>
      <c r="G30" s="12">
        <f t="shared" ref="G30" si="7">G27-G29</f>
        <v>85204</v>
      </c>
    </row>
    <row r="31" spans="2:9" x14ac:dyDescent="0.35">
      <c r="B31" s="16" t="s">
        <v>15</v>
      </c>
      <c r="C31" s="12">
        <v>23799</v>
      </c>
      <c r="D31" s="12">
        <v>26812</v>
      </c>
      <c r="E31" s="12">
        <v>27859</v>
      </c>
      <c r="F31" s="12">
        <v>28859</v>
      </c>
      <c r="G31" s="12">
        <v>29463</v>
      </c>
    </row>
    <row r="32" spans="2:9" x14ac:dyDescent="0.35">
      <c r="B32" s="16" t="s">
        <v>16</v>
      </c>
      <c r="C32" s="12">
        <v>12945</v>
      </c>
      <c r="D32" s="12">
        <v>14041</v>
      </c>
      <c r="E32" s="12">
        <v>15488</v>
      </c>
      <c r="F32" s="12">
        <v>17451</v>
      </c>
      <c r="G32" s="12">
        <v>19032</v>
      </c>
    </row>
    <row r="33" spans="2:7" x14ac:dyDescent="0.35">
      <c r="B33" s="16" t="s">
        <v>17</v>
      </c>
      <c r="C33" s="12">
        <v>5000</v>
      </c>
      <c r="D33" s="12">
        <v>5000</v>
      </c>
      <c r="E33" s="12">
        <v>5000</v>
      </c>
      <c r="F33" s="12">
        <v>5100</v>
      </c>
      <c r="G33" s="12">
        <v>5100</v>
      </c>
    </row>
    <row r="34" spans="2:7" x14ac:dyDescent="0.35">
      <c r="B34" s="16" t="s">
        <v>18</v>
      </c>
      <c r="C34" s="12">
        <f>C30-SUM(C31:C33)</f>
        <v>20084</v>
      </c>
      <c r="D34" s="12">
        <f t="shared" ref="D34" si="8">D30-SUM(D31:D33)</f>
        <v>22974</v>
      </c>
      <c r="E34" s="12">
        <f t="shared" ref="E34" si="9">E30-SUM(E31:E33)</f>
        <v>12033</v>
      </c>
      <c r="F34" s="12">
        <f t="shared" ref="F34" si="10">F30-SUM(F31:F33)</f>
        <v>24798</v>
      </c>
      <c r="G34" s="12">
        <f t="shared" ref="G34" si="11">G30-SUM(G31:G33)</f>
        <v>31609</v>
      </c>
    </row>
    <row r="35" spans="2:7" x14ac:dyDescent="0.35">
      <c r="B35" s="16" t="s">
        <v>19</v>
      </c>
      <c r="C35" s="12">
        <f>C34*0.25</f>
        <v>5021</v>
      </c>
      <c r="D35" s="12">
        <f t="shared" ref="D35" si="12">D34*0.25</f>
        <v>5743.5</v>
      </c>
      <c r="E35" s="12">
        <f t="shared" ref="E35" si="13">E34*0.25</f>
        <v>3008.25</v>
      </c>
      <c r="F35" s="12">
        <f t="shared" ref="F35" si="14">F34*0.25</f>
        <v>6199.5</v>
      </c>
      <c r="G35" s="12">
        <f t="shared" ref="G35" si="15">G34*0.25</f>
        <v>7902.25</v>
      </c>
    </row>
    <row r="36" spans="2:7" x14ac:dyDescent="0.35">
      <c r="B36" s="16" t="s">
        <v>20</v>
      </c>
      <c r="C36" s="12">
        <f>C34-C35</f>
        <v>15063</v>
      </c>
      <c r="D36" s="12">
        <f t="shared" ref="D36" si="16">D34-D35</f>
        <v>17230.5</v>
      </c>
      <c r="E36" s="12">
        <f t="shared" ref="E36" si="17">E34-E35</f>
        <v>9024.75</v>
      </c>
      <c r="F36" s="12">
        <f t="shared" ref="F36" si="18">F34-F35</f>
        <v>18598.5</v>
      </c>
      <c r="G36" s="12">
        <f t="shared" ref="G36" si="19">G34-G35</f>
        <v>23706.75</v>
      </c>
    </row>
    <row r="39" spans="2:7" x14ac:dyDescent="0.35">
      <c r="B39" s="5" t="s">
        <v>25</v>
      </c>
    </row>
    <row r="41" spans="2:7" x14ac:dyDescent="0.35">
      <c r="B41" s="18" t="s">
        <v>26</v>
      </c>
      <c r="C41" s="13" t="s">
        <v>12</v>
      </c>
      <c r="D41" s="17" t="s">
        <v>28</v>
      </c>
      <c r="E41" s="13">
        <f>MATCH(C41,B47:B55,0)</f>
        <v>1</v>
      </c>
    </row>
    <row r="42" spans="2:7" x14ac:dyDescent="0.35">
      <c r="B42" s="18" t="s">
        <v>27</v>
      </c>
      <c r="C42" s="20"/>
    </row>
    <row r="45" spans="2:7" x14ac:dyDescent="0.35">
      <c r="B45" s="5" t="s">
        <v>21</v>
      </c>
    </row>
    <row r="46" spans="2:7" x14ac:dyDescent="0.35">
      <c r="B46" s="10" t="s">
        <v>22</v>
      </c>
      <c r="C46" s="10">
        <v>2019</v>
      </c>
      <c r="D46" s="10">
        <v>2020</v>
      </c>
      <c r="E46" s="10">
        <v>2021</v>
      </c>
      <c r="F46" s="10">
        <v>2022</v>
      </c>
      <c r="G46" s="10">
        <v>2023</v>
      </c>
    </row>
    <row r="47" spans="2:7" x14ac:dyDescent="0.35">
      <c r="B47" s="11" t="s">
        <v>12</v>
      </c>
      <c r="C47" s="12">
        <v>100500</v>
      </c>
      <c r="D47" s="12">
        <v>110148</v>
      </c>
      <c r="E47" s="12">
        <v>120832</v>
      </c>
      <c r="F47" s="12">
        <v>131707</v>
      </c>
      <c r="G47" s="12">
        <v>141524</v>
      </c>
    </row>
    <row r="48" spans="2:7" x14ac:dyDescent="0.35">
      <c r="B48" s="11" t="s">
        <v>13</v>
      </c>
      <c r="C48" s="12">
        <v>38672</v>
      </c>
      <c r="D48" s="12">
        <v>41321</v>
      </c>
      <c r="E48" s="12">
        <v>60452</v>
      </c>
      <c r="F48" s="12">
        <v>55499</v>
      </c>
      <c r="G48" s="12">
        <v>56320</v>
      </c>
    </row>
    <row r="49" spans="2:7" x14ac:dyDescent="0.35">
      <c r="B49" s="11" t="s">
        <v>14</v>
      </c>
      <c r="C49" s="12">
        <f>C47-C48</f>
        <v>61828</v>
      </c>
      <c r="D49" s="12">
        <f t="shared" ref="D49:G49" si="20">D47-D48</f>
        <v>68827</v>
      </c>
      <c r="E49" s="12">
        <f t="shared" si="20"/>
        <v>60380</v>
      </c>
      <c r="F49" s="12">
        <f t="shared" si="20"/>
        <v>76208</v>
      </c>
      <c r="G49" s="12">
        <f t="shared" si="20"/>
        <v>85204</v>
      </c>
    </row>
    <row r="50" spans="2:7" x14ac:dyDescent="0.35">
      <c r="B50" s="11" t="s">
        <v>15</v>
      </c>
      <c r="C50" s="12">
        <v>23799</v>
      </c>
      <c r="D50" s="12">
        <v>26812</v>
      </c>
      <c r="E50" s="12">
        <v>27859</v>
      </c>
      <c r="F50" s="12">
        <v>28859</v>
      </c>
      <c r="G50" s="12">
        <v>29463</v>
      </c>
    </row>
    <row r="51" spans="2:7" x14ac:dyDescent="0.35">
      <c r="B51" s="11" t="s">
        <v>16</v>
      </c>
      <c r="C51" s="12">
        <v>12945</v>
      </c>
      <c r="D51" s="12">
        <v>14041</v>
      </c>
      <c r="E51" s="12">
        <v>15488</v>
      </c>
      <c r="F51" s="12">
        <v>17451</v>
      </c>
      <c r="G51" s="12">
        <v>19032</v>
      </c>
    </row>
    <row r="52" spans="2:7" x14ac:dyDescent="0.35">
      <c r="B52" s="11" t="s">
        <v>17</v>
      </c>
      <c r="C52" s="12">
        <v>5000</v>
      </c>
      <c r="D52" s="12">
        <v>5000</v>
      </c>
      <c r="E52" s="12">
        <v>5000</v>
      </c>
      <c r="F52" s="12">
        <v>5100</v>
      </c>
      <c r="G52" s="12">
        <v>5100</v>
      </c>
    </row>
    <row r="53" spans="2:7" x14ac:dyDescent="0.35">
      <c r="B53" s="11" t="s">
        <v>18</v>
      </c>
      <c r="C53" s="12">
        <f>C49-SUM(C50:C52)</f>
        <v>20084</v>
      </c>
      <c r="D53" s="12">
        <f t="shared" ref="D53:G53" si="21">D49-SUM(D50:D52)</f>
        <v>22974</v>
      </c>
      <c r="E53" s="12">
        <f t="shared" si="21"/>
        <v>12033</v>
      </c>
      <c r="F53" s="12">
        <f t="shared" si="21"/>
        <v>24798</v>
      </c>
      <c r="G53" s="12">
        <f t="shared" si="21"/>
        <v>31609</v>
      </c>
    </row>
    <row r="54" spans="2:7" x14ac:dyDescent="0.35">
      <c r="B54" s="11" t="s">
        <v>19</v>
      </c>
      <c r="C54" s="12">
        <f>C53*0.25</f>
        <v>5021</v>
      </c>
      <c r="D54" s="12">
        <f t="shared" ref="D54:G54" si="22">D53*0.25</f>
        <v>5743.5</v>
      </c>
      <c r="E54" s="12">
        <f t="shared" si="22"/>
        <v>3008.25</v>
      </c>
      <c r="F54" s="12">
        <f t="shared" si="22"/>
        <v>6199.5</v>
      </c>
      <c r="G54" s="12">
        <f t="shared" si="22"/>
        <v>7902.25</v>
      </c>
    </row>
    <row r="55" spans="2:7" x14ac:dyDescent="0.35">
      <c r="B55" s="11" t="s">
        <v>20</v>
      </c>
      <c r="C55" s="12">
        <f>C53-C54</f>
        <v>15063</v>
      </c>
      <c r="D55" s="12">
        <f t="shared" ref="D55:G55" si="23">D53-D54</f>
        <v>17230.5</v>
      </c>
      <c r="E55" s="12">
        <f t="shared" si="23"/>
        <v>9024.75</v>
      </c>
      <c r="F55" s="12">
        <f t="shared" si="23"/>
        <v>18598.5</v>
      </c>
      <c r="G55" s="12">
        <f t="shared" si="23"/>
        <v>23706.75</v>
      </c>
    </row>
  </sheetData>
  <dataValidations count="2">
    <dataValidation type="whole" allowBlank="1" showInputMessage="1" showErrorMessage="1" sqref="D7 D23" xr:uid="{A9B703E5-AB49-4CE7-9AFF-A840CB4BC653}">
      <formula1>1</formula1>
      <formula2>5</formula2>
    </dataValidation>
    <dataValidation type="list" allowBlank="1" showInputMessage="1" showErrorMessage="1" sqref="C41" xr:uid="{84271D53-AC45-49E0-916C-059DC17BF52F}">
      <formula1>$B$47:$B$55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74CB-61BA-43FD-93C1-D45BADCFAF5E}">
  <dimension ref="A1:I55"/>
  <sheetViews>
    <sheetView workbookViewId="0">
      <selection activeCell="F4" sqref="F4"/>
    </sheetView>
  </sheetViews>
  <sheetFormatPr defaultRowHeight="14.5" x14ac:dyDescent="0.35"/>
  <cols>
    <col min="1" max="1" width="8.7265625" style="5"/>
    <col min="2" max="2" width="20.36328125" style="5" customWidth="1"/>
    <col min="3" max="3" width="15.1796875" style="5" customWidth="1"/>
    <col min="4" max="4" width="12.6328125" style="5" customWidth="1"/>
    <col min="5" max="5" width="12.90625" style="5" bestFit="1" customWidth="1"/>
    <col min="6" max="7" width="12.6328125" style="5" customWidth="1"/>
    <col min="8" max="8" width="14.1796875" style="5" customWidth="1"/>
    <col min="9" max="9" width="12.90625" style="5" customWidth="1"/>
    <col min="10" max="16384" width="8.7265625" style="5"/>
  </cols>
  <sheetData>
    <row r="1" spans="1:9" ht="30.5" x14ac:dyDescent="0.65">
      <c r="A1" s="6" t="s">
        <v>7</v>
      </c>
      <c r="C1" s="5" t="s">
        <v>8</v>
      </c>
    </row>
    <row r="2" spans="1:9" ht="18" x14ac:dyDescent="0.4">
      <c r="C2" s="40" t="s">
        <v>6</v>
      </c>
      <c r="D2" s="39"/>
      <c r="E2" s="39"/>
      <c r="F2" s="39"/>
      <c r="G2" s="39"/>
    </row>
    <row r="4" spans="1:9" x14ac:dyDescent="0.35">
      <c r="B4" s="5" t="s">
        <v>9</v>
      </c>
    </row>
    <row r="5" spans="1:9" x14ac:dyDescent="0.35">
      <c r="B5" s="5" t="s">
        <v>10</v>
      </c>
    </row>
    <row r="7" spans="1:9" x14ac:dyDescent="0.35">
      <c r="B7" s="7" t="s">
        <v>11</v>
      </c>
      <c r="C7" s="8"/>
      <c r="D7" s="9">
        <v>3</v>
      </c>
    </row>
    <row r="9" spans="1:9" x14ac:dyDescent="0.35">
      <c r="B9" s="5" t="s">
        <v>21</v>
      </c>
    </row>
    <row r="10" spans="1:9" x14ac:dyDescent="0.35">
      <c r="B10" s="10" t="s">
        <v>22</v>
      </c>
      <c r="C10" s="10">
        <v>2019</v>
      </c>
      <c r="D10" s="10">
        <v>2020</v>
      </c>
      <c r="E10" s="10">
        <v>2021</v>
      </c>
      <c r="F10" s="10">
        <v>2022</v>
      </c>
      <c r="G10" s="10">
        <v>2023</v>
      </c>
      <c r="H10" s="10" t="str">
        <f>"Total "&amp;D7&amp;"Y"</f>
        <v>Total 3Y</v>
      </c>
      <c r="I10" s="10" t="str">
        <f>"SMA "&amp;D7&amp;"Y"</f>
        <v>SMA 3Y</v>
      </c>
    </row>
    <row r="11" spans="1:9" x14ac:dyDescent="0.35">
      <c r="B11" s="11" t="s">
        <v>12</v>
      </c>
      <c r="C11" s="12">
        <v>100500</v>
      </c>
      <c r="D11" s="12">
        <v>110148</v>
      </c>
      <c r="E11" s="12">
        <v>120832</v>
      </c>
      <c r="F11" s="12">
        <v>131707</v>
      </c>
      <c r="G11" s="12">
        <v>141524</v>
      </c>
      <c r="H11" s="15">
        <f ca="1">SUM(G11:OFFSET(G11,0,-$D$7+1))</f>
        <v>394063</v>
      </c>
      <c r="I11" s="15">
        <f ca="1">AVERAGE(G11:OFFSET(G11,0,-$D$7+1))</f>
        <v>131354.33333333334</v>
      </c>
    </row>
    <row r="12" spans="1:9" x14ac:dyDescent="0.35">
      <c r="B12" s="11" t="s">
        <v>13</v>
      </c>
      <c r="C12" s="12">
        <v>38672</v>
      </c>
      <c r="D12" s="12">
        <v>41321</v>
      </c>
      <c r="E12" s="12">
        <v>60452</v>
      </c>
      <c r="F12" s="12">
        <v>55499</v>
      </c>
      <c r="G12" s="12">
        <v>56320</v>
      </c>
      <c r="H12" s="15">
        <f ca="1">SUM(G12:OFFSET(G12,0,-$D$7+1))</f>
        <v>172271</v>
      </c>
      <c r="I12" s="15">
        <f ca="1">AVERAGE(G12:OFFSET(G12,0,-$D$7+1))</f>
        <v>57423.666666666664</v>
      </c>
    </row>
    <row r="13" spans="1:9" x14ac:dyDescent="0.35">
      <c r="B13" s="11" t="s">
        <v>14</v>
      </c>
      <c r="C13" s="12">
        <f>C11-C12</f>
        <v>61828</v>
      </c>
      <c r="D13" s="12">
        <f t="shared" ref="D13:G13" si="0">D11-D12</f>
        <v>68827</v>
      </c>
      <c r="E13" s="12">
        <f t="shared" si="0"/>
        <v>60380</v>
      </c>
      <c r="F13" s="12">
        <f t="shared" si="0"/>
        <v>76208</v>
      </c>
      <c r="G13" s="12">
        <f t="shared" si="0"/>
        <v>85204</v>
      </c>
      <c r="H13" s="15">
        <f ca="1">SUM(G13:OFFSET(G13,0,-$D$7+1))</f>
        <v>221792</v>
      </c>
      <c r="I13" s="15">
        <f ca="1">AVERAGE(G13:OFFSET(G13,0,-$D$7+1))</f>
        <v>73930.666666666672</v>
      </c>
    </row>
    <row r="14" spans="1:9" x14ac:dyDescent="0.35">
      <c r="B14" s="11" t="s">
        <v>15</v>
      </c>
      <c r="C14" s="12">
        <v>23799</v>
      </c>
      <c r="D14" s="12">
        <v>26812</v>
      </c>
      <c r="E14" s="12">
        <v>27859</v>
      </c>
      <c r="F14" s="12">
        <v>28859</v>
      </c>
      <c r="G14" s="12">
        <v>29463</v>
      </c>
      <c r="H14" s="15">
        <f ca="1">SUM(G14:OFFSET(G14,0,-$D$7+1))</f>
        <v>86181</v>
      </c>
      <c r="I14" s="15">
        <f ca="1">AVERAGE(G14:OFFSET(G14,0,-$D$7+1))</f>
        <v>28727</v>
      </c>
    </row>
    <row r="15" spans="1:9" x14ac:dyDescent="0.35">
      <c r="B15" s="11" t="s">
        <v>16</v>
      </c>
      <c r="C15" s="12">
        <v>12945</v>
      </c>
      <c r="D15" s="12">
        <v>14041</v>
      </c>
      <c r="E15" s="12">
        <v>15488</v>
      </c>
      <c r="F15" s="12">
        <v>17451</v>
      </c>
      <c r="G15" s="12">
        <v>19032</v>
      </c>
      <c r="H15" s="15">
        <f ca="1">SUM(G15:OFFSET(G15,0,-$D$7+1))</f>
        <v>51971</v>
      </c>
      <c r="I15" s="15">
        <f ca="1">AVERAGE(G15:OFFSET(G15,0,-$D$7+1))</f>
        <v>17323.666666666668</v>
      </c>
    </row>
    <row r="16" spans="1:9" x14ac:dyDescent="0.35">
      <c r="B16" s="11" t="s">
        <v>17</v>
      </c>
      <c r="C16" s="12">
        <v>5000</v>
      </c>
      <c r="D16" s="12">
        <v>5000</v>
      </c>
      <c r="E16" s="12">
        <v>5000</v>
      </c>
      <c r="F16" s="12">
        <v>5100</v>
      </c>
      <c r="G16" s="12">
        <v>5100</v>
      </c>
      <c r="H16" s="15">
        <f ca="1">SUM(G16:OFFSET(G16,0,-$D$7+1))</f>
        <v>15200</v>
      </c>
      <c r="I16" s="15">
        <f ca="1">AVERAGE(G16:OFFSET(G16,0,-$D$7+1))</f>
        <v>5066.666666666667</v>
      </c>
    </row>
    <row r="17" spans="2:9" x14ac:dyDescent="0.35">
      <c r="B17" s="11" t="s">
        <v>18</v>
      </c>
      <c r="C17" s="12">
        <f>C13-SUM(C14:C16)</f>
        <v>20084</v>
      </c>
      <c r="D17" s="12">
        <f t="shared" ref="D17:G17" si="1">D13-SUM(D14:D16)</f>
        <v>22974</v>
      </c>
      <c r="E17" s="12">
        <f t="shared" si="1"/>
        <v>12033</v>
      </c>
      <c r="F17" s="12">
        <f t="shared" si="1"/>
        <v>24798</v>
      </c>
      <c r="G17" s="12">
        <f t="shared" si="1"/>
        <v>31609</v>
      </c>
      <c r="H17" s="15">
        <f ca="1">SUM(G17:OFFSET(G17,0,-$D$7+1))</f>
        <v>68440</v>
      </c>
      <c r="I17" s="15">
        <f ca="1">AVERAGE(G17:OFFSET(G17,0,-$D$7+1))</f>
        <v>22813.333333333332</v>
      </c>
    </row>
    <row r="18" spans="2:9" x14ac:dyDescent="0.35">
      <c r="B18" s="11" t="s">
        <v>19</v>
      </c>
      <c r="C18" s="12">
        <f>C17*0.25</f>
        <v>5021</v>
      </c>
      <c r="D18" s="12">
        <f t="shared" ref="D18:G18" si="2">D17*0.25</f>
        <v>5743.5</v>
      </c>
      <c r="E18" s="12">
        <f t="shared" si="2"/>
        <v>3008.25</v>
      </c>
      <c r="F18" s="12">
        <f t="shared" si="2"/>
        <v>6199.5</v>
      </c>
      <c r="G18" s="12">
        <f t="shared" si="2"/>
        <v>7902.25</v>
      </c>
      <c r="H18" s="15">
        <f ca="1">SUM(G18:OFFSET(G18,0,-$D$7+1))</f>
        <v>17110</v>
      </c>
      <c r="I18" s="15">
        <f ca="1">AVERAGE(G18:OFFSET(G18,0,-$D$7+1))</f>
        <v>5703.333333333333</v>
      </c>
    </row>
    <row r="19" spans="2:9" x14ac:dyDescent="0.35">
      <c r="B19" s="11" t="s">
        <v>20</v>
      </c>
      <c r="C19" s="12">
        <f>C17-C18</f>
        <v>15063</v>
      </c>
      <c r="D19" s="12">
        <f t="shared" ref="D19:G19" si="3">D17-D18</f>
        <v>17230.5</v>
      </c>
      <c r="E19" s="12">
        <f t="shared" si="3"/>
        <v>9024.75</v>
      </c>
      <c r="F19" s="12">
        <f t="shared" si="3"/>
        <v>18598.5</v>
      </c>
      <c r="G19" s="12">
        <f t="shared" si="3"/>
        <v>23706.75</v>
      </c>
      <c r="H19" s="15">
        <f ca="1">SUM(G19:OFFSET(G19,0,-$D$7+1))</f>
        <v>51330</v>
      </c>
      <c r="I19" s="15">
        <f ca="1">AVERAGE(G19:OFFSET(G19,0,-$D$7+1))</f>
        <v>17110</v>
      </c>
    </row>
    <row r="22" spans="2:9" x14ac:dyDescent="0.35">
      <c r="B22" s="5" t="s">
        <v>24</v>
      </c>
    </row>
    <row r="24" spans="2:9" x14ac:dyDescent="0.35">
      <c r="B24" s="7" t="s">
        <v>11</v>
      </c>
      <c r="C24" s="8"/>
      <c r="D24" s="9">
        <v>2</v>
      </c>
    </row>
    <row r="26" spans="2:9" x14ac:dyDescent="0.35">
      <c r="B26" s="5" t="s">
        <v>21</v>
      </c>
    </row>
    <row r="27" spans="2:9" x14ac:dyDescent="0.35">
      <c r="B27" s="10" t="s">
        <v>22</v>
      </c>
      <c r="C27" s="10">
        <v>2019</v>
      </c>
      <c r="D27" s="10">
        <v>2020</v>
      </c>
      <c r="E27" s="10">
        <v>2021</v>
      </c>
      <c r="F27" s="10">
        <v>2022</v>
      </c>
      <c r="G27" s="10">
        <v>2023</v>
      </c>
    </row>
    <row r="28" spans="2:9" x14ac:dyDescent="0.35">
      <c r="B28" s="11" t="s">
        <v>12</v>
      </c>
      <c r="C28" s="12">
        <v>100500</v>
      </c>
      <c r="D28" s="12">
        <v>110148</v>
      </c>
      <c r="E28" s="12">
        <v>120832</v>
      </c>
      <c r="F28" s="12">
        <v>131707</v>
      </c>
      <c r="G28" s="12">
        <v>141524</v>
      </c>
    </row>
    <row r="29" spans="2:9" x14ac:dyDescent="0.35">
      <c r="B29" s="11" t="str">
        <f>"SMA "&amp;D24&amp;"Y"</f>
        <v>SMA 2Y</v>
      </c>
      <c r="C29" s="15">
        <f ca="1">AVERAGE(C28:OFFSET(C28,0,-$D$24+1))</f>
        <v>100500</v>
      </c>
      <c r="D29" s="15">
        <f ca="1">AVERAGE(D28:OFFSET(D28,0,-$D$24+1))</f>
        <v>105324</v>
      </c>
      <c r="E29" s="15">
        <f ca="1">AVERAGE(E28:OFFSET(E28,0,-$D$24+1))</f>
        <v>115490</v>
      </c>
      <c r="F29" s="15">
        <f ca="1">AVERAGE(F28:OFFSET(F28,0,-$D$24+1))</f>
        <v>126269.5</v>
      </c>
      <c r="G29" s="15">
        <f ca="1">AVERAGE(G28:OFFSET(G28,0,-$D$24+1))</f>
        <v>136615.5</v>
      </c>
    </row>
    <row r="30" spans="2:9" x14ac:dyDescent="0.35">
      <c r="B30" s="16" t="s">
        <v>13</v>
      </c>
      <c r="C30" s="12">
        <v>38672</v>
      </c>
      <c r="D30" s="12">
        <v>41321</v>
      </c>
      <c r="E30" s="12">
        <v>60452</v>
      </c>
      <c r="F30" s="12">
        <v>55499</v>
      </c>
      <c r="G30" s="12">
        <v>56320</v>
      </c>
    </row>
    <row r="31" spans="2:9" x14ac:dyDescent="0.35">
      <c r="B31" s="16" t="s">
        <v>14</v>
      </c>
      <c r="C31" s="12">
        <f>C28-C30</f>
        <v>61828</v>
      </c>
      <c r="D31" s="12">
        <f t="shared" ref="D31:G31" si="4">D28-D30</f>
        <v>68827</v>
      </c>
      <c r="E31" s="12">
        <f t="shared" si="4"/>
        <v>60380</v>
      </c>
      <c r="F31" s="12">
        <f t="shared" si="4"/>
        <v>76208</v>
      </c>
      <c r="G31" s="12">
        <f t="shared" si="4"/>
        <v>85204</v>
      </c>
    </row>
    <row r="32" spans="2:9" x14ac:dyDescent="0.35">
      <c r="B32" s="16" t="s">
        <v>15</v>
      </c>
      <c r="C32" s="12">
        <v>23799</v>
      </c>
      <c r="D32" s="12">
        <v>26812</v>
      </c>
      <c r="E32" s="12">
        <v>27859</v>
      </c>
      <c r="F32" s="12">
        <v>28859</v>
      </c>
      <c r="G32" s="12">
        <v>29463</v>
      </c>
    </row>
    <row r="33" spans="2:7" x14ac:dyDescent="0.35">
      <c r="B33" s="16" t="s">
        <v>16</v>
      </c>
      <c r="C33" s="12">
        <v>12945</v>
      </c>
      <c r="D33" s="12">
        <v>14041</v>
      </c>
      <c r="E33" s="12">
        <v>15488</v>
      </c>
      <c r="F33" s="12">
        <v>17451</v>
      </c>
      <c r="G33" s="12">
        <v>19032</v>
      </c>
    </row>
    <row r="34" spans="2:7" x14ac:dyDescent="0.35">
      <c r="B34" s="16" t="s">
        <v>17</v>
      </c>
      <c r="C34" s="12">
        <v>5000</v>
      </c>
      <c r="D34" s="12">
        <v>5000</v>
      </c>
      <c r="E34" s="12">
        <v>5000</v>
      </c>
      <c r="F34" s="12">
        <v>5100</v>
      </c>
      <c r="G34" s="12">
        <v>5100</v>
      </c>
    </row>
    <row r="35" spans="2:7" x14ac:dyDescent="0.35">
      <c r="B35" s="16" t="s">
        <v>18</v>
      </c>
      <c r="C35" s="12">
        <f>C31-SUM(C32:C34)</f>
        <v>20084</v>
      </c>
      <c r="D35" s="12">
        <f t="shared" ref="D35:G35" si="5">D31-SUM(D32:D34)</f>
        <v>22974</v>
      </c>
      <c r="E35" s="12">
        <f t="shared" si="5"/>
        <v>12033</v>
      </c>
      <c r="F35" s="12">
        <f t="shared" si="5"/>
        <v>24798</v>
      </c>
      <c r="G35" s="12">
        <f t="shared" si="5"/>
        <v>31609</v>
      </c>
    </row>
    <row r="36" spans="2:7" x14ac:dyDescent="0.35">
      <c r="B36" s="16" t="s">
        <v>19</v>
      </c>
      <c r="C36" s="12">
        <f>C35*0.25</f>
        <v>5021</v>
      </c>
      <c r="D36" s="12">
        <f t="shared" ref="D36:G36" si="6">D35*0.25</f>
        <v>5743.5</v>
      </c>
      <c r="E36" s="12">
        <f t="shared" si="6"/>
        <v>3008.25</v>
      </c>
      <c r="F36" s="12">
        <f t="shared" si="6"/>
        <v>6199.5</v>
      </c>
      <c r="G36" s="12">
        <f t="shared" si="6"/>
        <v>7902.25</v>
      </c>
    </row>
    <row r="37" spans="2:7" x14ac:dyDescent="0.35">
      <c r="B37" s="16" t="s">
        <v>20</v>
      </c>
      <c r="C37" s="12">
        <f>C35-C36</f>
        <v>15063</v>
      </c>
      <c r="D37" s="12">
        <f t="shared" ref="D37:G37" si="7">D35-D36</f>
        <v>17230.5</v>
      </c>
      <c r="E37" s="12">
        <f t="shared" si="7"/>
        <v>9024.75</v>
      </c>
      <c r="F37" s="12">
        <f t="shared" si="7"/>
        <v>18598.5</v>
      </c>
      <c r="G37" s="12">
        <f t="shared" si="7"/>
        <v>23706.75</v>
      </c>
    </row>
    <row r="39" spans="2:7" x14ac:dyDescent="0.35">
      <c r="B39" s="5" t="s">
        <v>25</v>
      </c>
    </row>
    <row r="41" spans="2:7" x14ac:dyDescent="0.35">
      <c r="B41" s="18" t="s">
        <v>26</v>
      </c>
      <c r="C41" s="13" t="s">
        <v>13</v>
      </c>
      <c r="D41" s="17" t="s">
        <v>28</v>
      </c>
      <c r="E41" s="13">
        <f>MATCH(C41,B47:B55,0)</f>
        <v>2</v>
      </c>
    </row>
    <row r="42" spans="2:7" x14ac:dyDescent="0.35">
      <c r="B42" s="18" t="s">
        <v>27</v>
      </c>
      <c r="C42" s="20">
        <f ca="1">MEDIAN(OFFSET(B46,$E$41,1,1,COUNT(C46:G46)))</f>
        <v>55499</v>
      </c>
    </row>
    <row r="45" spans="2:7" x14ac:dyDescent="0.35">
      <c r="B45" s="5" t="s">
        <v>21</v>
      </c>
    </row>
    <row r="46" spans="2:7" x14ac:dyDescent="0.35">
      <c r="B46" s="10" t="s">
        <v>22</v>
      </c>
      <c r="C46" s="10">
        <v>2019</v>
      </c>
      <c r="D46" s="10">
        <v>2020</v>
      </c>
      <c r="E46" s="10">
        <v>2021</v>
      </c>
      <c r="F46" s="10">
        <v>2022</v>
      </c>
      <c r="G46" s="10">
        <v>2023</v>
      </c>
    </row>
    <row r="47" spans="2:7" x14ac:dyDescent="0.35">
      <c r="B47" s="11" t="s">
        <v>12</v>
      </c>
      <c r="C47" s="12">
        <v>100500</v>
      </c>
      <c r="D47" s="12">
        <v>110148</v>
      </c>
      <c r="E47" s="12">
        <v>120832</v>
      </c>
      <c r="F47" s="12">
        <v>131707</v>
      </c>
      <c r="G47" s="12">
        <v>141524</v>
      </c>
    </row>
    <row r="48" spans="2:7" x14ac:dyDescent="0.35">
      <c r="B48" s="11" t="s">
        <v>13</v>
      </c>
      <c r="C48" s="12">
        <v>38672</v>
      </c>
      <c r="D48" s="12">
        <v>41321</v>
      </c>
      <c r="E48" s="12">
        <v>60452</v>
      </c>
      <c r="F48" s="12">
        <v>55499</v>
      </c>
      <c r="G48" s="12">
        <v>56320</v>
      </c>
    </row>
    <row r="49" spans="2:7" x14ac:dyDescent="0.35">
      <c r="B49" s="11" t="s">
        <v>14</v>
      </c>
      <c r="C49" s="12">
        <f>C47-C48</f>
        <v>61828</v>
      </c>
      <c r="D49" s="12">
        <f t="shared" ref="D49" si="8">D47-D48</f>
        <v>68827</v>
      </c>
      <c r="E49" s="12">
        <f t="shared" ref="E49" si="9">E47-E48</f>
        <v>60380</v>
      </c>
      <c r="F49" s="12">
        <f t="shared" ref="F49" si="10">F47-F48</f>
        <v>76208</v>
      </c>
      <c r="G49" s="12">
        <f t="shared" ref="G49" si="11">G47-G48</f>
        <v>85204</v>
      </c>
    </row>
    <row r="50" spans="2:7" x14ac:dyDescent="0.35">
      <c r="B50" s="11" t="s">
        <v>15</v>
      </c>
      <c r="C50" s="12">
        <v>23799</v>
      </c>
      <c r="D50" s="12">
        <v>26812</v>
      </c>
      <c r="E50" s="12">
        <v>27859</v>
      </c>
      <c r="F50" s="12">
        <v>28859</v>
      </c>
      <c r="G50" s="12">
        <v>29463</v>
      </c>
    </row>
    <row r="51" spans="2:7" x14ac:dyDescent="0.35">
      <c r="B51" s="11" t="s">
        <v>16</v>
      </c>
      <c r="C51" s="12">
        <v>12945</v>
      </c>
      <c r="D51" s="12">
        <v>14041</v>
      </c>
      <c r="E51" s="12">
        <v>15488</v>
      </c>
      <c r="F51" s="12">
        <v>17451</v>
      </c>
      <c r="G51" s="12">
        <v>19032</v>
      </c>
    </row>
    <row r="52" spans="2:7" x14ac:dyDescent="0.35">
      <c r="B52" s="11" t="s">
        <v>17</v>
      </c>
      <c r="C52" s="12">
        <v>5000</v>
      </c>
      <c r="D52" s="12">
        <v>5000</v>
      </c>
      <c r="E52" s="12">
        <v>5000</v>
      </c>
      <c r="F52" s="12">
        <v>5100</v>
      </c>
      <c r="G52" s="12">
        <v>5100</v>
      </c>
    </row>
    <row r="53" spans="2:7" x14ac:dyDescent="0.35">
      <c r="B53" s="11" t="s">
        <v>18</v>
      </c>
      <c r="C53" s="12">
        <f>C49-SUM(C50:C52)</f>
        <v>20084</v>
      </c>
      <c r="D53" s="12">
        <f t="shared" ref="D53" si="12">D49-SUM(D50:D52)</f>
        <v>22974</v>
      </c>
      <c r="E53" s="12">
        <f t="shared" ref="E53" si="13">E49-SUM(E50:E52)</f>
        <v>12033</v>
      </c>
      <c r="F53" s="12">
        <f t="shared" ref="F53" si="14">F49-SUM(F50:F52)</f>
        <v>24798</v>
      </c>
      <c r="G53" s="12">
        <f t="shared" ref="G53" si="15">G49-SUM(G50:G52)</f>
        <v>31609</v>
      </c>
    </row>
    <row r="54" spans="2:7" x14ac:dyDescent="0.35">
      <c r="B54" s="11" t="s">
        <v>19</v>
      </c>
      <c r="C54" s="12">
        <f>C53*0.25</f>
        <v>5021</v>
      </c>
      <c r="D54" s="12">
        <f t="shared" ref="D54" si="16">D53*0.25</f>
        <v>5743.5</v>
      </c>
      <c r="E54" s="12">
        <f t="shared" ref="E54" si="17">E53*0.25</f>
        <v>3008.25</v>
      </c>
      <c r="F54" s="12">
        <f t="shared" ref="F54" si="18">F53*0.25</f>
        <v>6199.5</v>
      </c>
      <c r="G54" s="12">
        <f t="shared" ref="G54" si="19">G53*0.25</f>
        <v>7902.25</v>
      </c>
    </row>
    <row r="55" spans="2:7" x14ac:dyDescent="0.35">
      <c r="B55" s="11" t="s">
        <v>20</v>
      </c>
      <c r="C55" s="12">
        <f>C53-C54</f>
        <v>15063</v>
      </c>
      <c r="D55" s="12">
        <f t="shared" ref="D55" si="20">D53-D54</f>
        <v>17230.5</v>
      </c>
      <c r="E55" s="12">
        <f t="shared" ref="E55" si="21">E53-E54</f>
        <v>9024.75</v>
      </c>
      <c r="F55" s="12">
        <f t="shared" ref="F55" si="22">F53-F54</f>
        <v>18598.5</v>
      </c>
      <c r="G55" s="12">
        <f t="shared" ref="G55" si="23">G53-G54</f>
        <v>23706.75</v>
      </c>
    </row>
  </sheetData>
  <dataValidations count="2">
    <dataValidation type="whole" allowBlank="1" showInputMessage="1" showErrorMessage="1" sqref="D7 D24" xr:uid="{BA38AC70-E702-41A1-A958-917FF4056C00}">
      <formula1>1</formula1>
      <formula2>5</formula2>
    </dataValidation>
    <dataValidation type="list" allowBlank="1" showInputMessage="1" showErrorMessage="1" sqref="C41" xr:uid="{EC3EF1B3-A22C-41DA-AF4A-EA9C9E8E4A9A}">
      <formula1>$B$47:$B$55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8E46-6500-4333-94C2-8FE55CFE2CFE}">
  <dimension ref="A1:I36"/>
  <sheetViews>
    <sheetView workbookViewId="0">
      <selection activeCell="E6" sqref="E6"/>
    </sheetView>
  </sheetViews>
  <sheetFormatPr defaultRowHeight="14.5" x14ac:dyDescent="0.35"/>
  <cols>
    <col min="1" max="1" width="8.7265625" style="5"/>
    <col min="2" max="2" width="27.36328125" style="5" customWidth="1"/>
    <col min="3" max="8" width="11.08984375" style="5" customWidth="1"/>
    <col min="9" max="9" width="12.36328125" style="5" bestFit="1" customWidth="1"/>
    <col min="10" max="16384" width="8.7265625" style="5"/>
  </cols>
  <sheetData>
    <row r="1" spans="1:9" ht="25.5" x14ac:dyDescent="0.55000000000000004">
      <c r="A1" s="37" t="s">
        <v>29</v>
      </c>
      <c r="C1" s="23" t="s">
        <v>31</v>
      </c>
    </row>
    <row r="2" spans="1:9" ht="15.5" x14ac:dyDescent="0.35">
      <c r="C2" s="21" t="s">
        <v>30</v>
      </c>
    </row>
    <row r="3" spans="1:9" ht="15.5" x14ac:dyDescent="0.35">
      <c r="C3" s="21" t="s">
        <v>32</v>
      </c>
    </row>
    <row r="4" spans="1:9" ht="18" x14ac:dyDescent="0.4">
      <c r="C4" s="38" t="s">
        <v>33</v>
      </c>
      <c r="D4" s="39"/>
      <c r="E4" s="39"/>
    </row>
    <row r="6" spans="1:9" ht="29" x14ac:dyDescent="0.35">
      <c r="B6" s="34" t="s">
        <v>46</v>
      </c>
      <c r="C6" s="14"/>
    </row>
    <row r="7" spans="1:9" ht="29" x14ac:dyDescent="0.35">
      <c r="B7" s="34" t="s">
        <v>47</v>
      </c>
      <c r="C7" s="14"/>
    </row>
    <row r="8" spans="1:9" ht="43.5" x14ac:dyDescent="0.35">
      <c r="B8" s="34" t="s">
        <v>48</v>
      </c>
      <c r="C8" s="14"/>
    </row>
    <row r="10" spans="1:9" x14ac:dyDescent="0.35">
      <c r="C10" s="43" t="s">
        <v>37</v>
      </c>
      <c r="D10" s="43"/>
      <c r="E10" s="43"/>
      <c r="F10" s="43"/>
      <c r="G10" s="43"/>
      <c r="H10" s="43"/>
      <c r="I10" s="43"/>
    </row>
    <row r="11" spans="1:9" x14ac:dyDescent="0.35">
      <c r="B11" s="25" t="s">
        <v>57</v>
      </c>
      <c r="C11" s="10" t="s">
        <v>38</v>
      </c>
      <c r="D11" s="10" t="s">
        <v>41</v>
      </c>
      <c r="E11" s="10" t="s">
        <v>42</v>
      </c>
      <c r="F11" s="10" t="s">
        <v>43</v>
      </c>
      <c r="G11" s="10" t="s">
        <v>44</v>
      </c>
      <c r="H11" s="10" t="s">
        <v>40</v>
      </c>
      <c r="I11" s="10" t="s">
        <v>39</v>
      </c>
    </row>
    <row r="12" spans="1:9" x14ac:dyDescent="0.35">
      <c r="B12" s="16" t="s">
        <v>34</v>
      </c>
      <c r="C12" s="13">
        <v>2</v>
      </c>
      <c r="D12" s="13">
        <v>2</v>
      </c>
      <c r="E12" s="13">
        <v>4</v>
      </c>
      <c r="F12" s="13">
        <v>3</v>
      </c>
      <c r="G12" s="13">
        <v>2</v>
      </c>
      <c r="H12" s="13">
        <v>1</v>
      </c>
      <c r="I12" s="13">
        <v>3</v>
      </c>
    </row>
    <row r="13" spans="1:9" x14ac:dyDescent="0.35">
      <c r="B13" s="16" t="s">
        <v>35</v>
      </c>
      <c r="C13" s="13">
        <v>3</v>
      </c>
      <c r="D13" s="13">
        <v>4</v>
      </c>
      <c r="E13" s="13">
        <v>2</v>
      </c>
      <c r="F13" s="13">
        <v>8</v>
      </c>
      <c r="G13" s="13">
        <v>2</v>
      </c>
      <c r="H13" s="13">
        <v>2</v>
      </c>
      <c r="I13" s="13">
        <v>2</v>
      </c>
    </row>
    <row r="14" spans="1:9" x14ac:dyDescent="0.35">
      <c r="B14" s="16" t="s">
        <v>36</v>
      </c>
      <c r="C14" s="13">
        <v>4</v>
      </c>
      <c r="D14" s="13">
        <v>4</v>
      </c>
      <c r="E14" s="13">
        <v>1</v>
      </c>
      <c r="F14" s="13">
        <v>1</v>
      </c>
      <c r="G14" s="13">
        <v>6</v>
      </c>
      <c r="H14" s="13">
        <v>3</v>
      </c>
      <c r="I14" s="13">
        <v>1</v>
      </c>
    </row>
    <row r="15" spans="1:9" x14ac:dyDescent="0.35">
      <c r="B15" s="11" t="s">
        <v>45</v>
      </c>
      <c r="C15" s="26">
        <f>SUM(C12:C14)</f>
        <v>9</v>
      </c>
      <c r="D15" s="26">
        <f t="shared" ref="D15:I15" si="0">SUM(D12:D14)</f>
        <v>10</v>
      </c>
      <c r="E15" s="26">
        <f t="shared" si="0"/>
        <v>7</v>
      </c>
      <c r="F15" s="26">
        <f t="shared" si="0"/>
        <v>12</v>
      </c>
      <c r="G15" s="26">
        <f t="shared" si="0"/>
        <v>10</v>
      </c>
      <c r="H15" s="26">
        <f t="shared" si="0"/>
        <v>6</v>
      </c>
      <c r="I15" s="26">
        <f t="shared" si="0"/>
        <v>6</v>
      </c>
    </row>
    <row r="17" spans="2:9" x14ac:dyDescent="0.35">
      <c r="C17" s="43" t="s">
        <v>37</v>
      </c>
      <c r="D17" s="43"/>
      <c r="E17" s="43"/>
      <c r="F17" s="43"/>
      <c r="G17" s="43"/>
      <c r="H17" s="43"/>
      <c r="I17" s="43"/>
    </row>
    <row r="18" spans="2:9" ht="29" x14ac:dyDescent="0.35">
      <c r="B18" s="36" t="s">
        <v>49</v>
      </c>
      <c r="C18" s="10" t="s">
        <v>38</v>
      </c>
      <c r="D18" s="10" t="s">
        <v>41</v>
      </c>
      <c r="E18" s="10" t="s">
        <v>42</v>
      </c>
      <c r="F18" s="10" t="s">
        <v>43</v>
      </c>
      <c r="G18" s="10" t="s">
        <v>44</v>
      </c>
      <c r="H18" s="10" t="s">
        <v>40</v>
      </c>
      <c r="I18" s="10" t="s">
        <v>39</v>
      </c>
    </row>
    <row r="19" spans="2:9" x14ac:dyDescent="0.35">
      <c r="B19" s="16" t="s">
        <v>34</v>
      </c>
      <c r="C19" s="12">
        <v>55</v>
      </c>
      <c r="D19" s="12">
        <v>60</v>
      </c>
      <c r="E19" s="12">
        <v>57</v>
      </c>
      <c r="F19" s="12">
        <v>81</v>
      </c>
      <c r="G19" s="12">
        <v>45</v>
      </c>
      <c r="H19" s="12">
        <v>73</v>
      </c>
      <c r="I19" s="12">
        <v>55</v>
      </c>
    </row>
    <row r="20" spans="2:9" x14ac:dyDescent="0.35">
      <c r="B20" s="16" t="s">
        <v>35</v>
      </c>
      <c r="C20" s="12">
        <v>35</v>
      </c>
      <c r="D20" s="12">
        <v>33</v>
      </c>
      <c r="E20" s="12">
        <v>31</v>
      </c>
      <c r="F20" s="12">
        <v>38</v>
      </c>
      <c r="G20" s="12">
        <v>32</v>
      </c>
      <c r="H20" s="12">
        <v>33</v>
      </c>
      <c r="I20" s="12">
        <v>39</v>
      </c>
    </row>
    <row r="21" spans="2:9" x14ac:dyDescent="0.35">
      <c r="B21" s="16" t="s">
        <v>36</v>
      </c>
      <c r="C21" s="12">
        <v>25</v>
      </c>
      <c r="D21" s="12">
        <v>30</v>
      </c>
      <c r="E21" s="12">
        <v>40</v>
      </c>
      <c r="F21" s="12">
        <v>23</v>
      </c>
      <c r="G21" s="12">
        <v>28</v>
      </c>
      <c r="H21" s="12">
        <v>19</v>
      </c>
      <c r="I21" s="12">
        <v>40</v>
      </c>
    </row>
    <row r="22" spans="2:9" x14ac:dyDescent="0.35">
      <c r="B22" s="11" t="s">
        <v>50</v>
      </c>
      <c r="C22" s="27">
        <f>AVERAGE(C19:C21)</f>
        <v>38.333333333333336</v>
      </c>
      <c r="D22" s="27">
        <f t="shared" ref="D22:I22" si="1">AVERAGE(D19:D21)</f>
        <v>41</v>
      </c>
      <c r="E22" s="27">
        <f t="shared" si="1"/>
        <v>42.666666666666664</v>
      </c>
      <c r="F22" s="27">
        <f t="shared" si="1"/>
        <v>47.333333333333336</v>
      </c>
      <c r="G22" s="27">
        <f t="shared" si="1"/>
        <v>35</v>
      </c>
      <c r="H22" s="27">
        <f t="shared" si="1"/>
        <v>41.666666666666664</v>
      </c>
      <c r="I22" s="27">
        <f t="shared" si="1"/>
        <v>44.666666666666664</v>
      </c>
    </row>
    <row r="24" spans="2:9" x14ac:dyDescent="0.35">
      <c r="B24" s="24" t="s">
        <v>55</v>
      </c>
    </row>
    <row r="26" spans="2:9" x14ac:dyDescent="0.35">
      <c r="B26" s="28"/>
      <c r="C26" s="29" t="s">
        <v>51</v>
      </c>
      <c r="D26" s="10" t="s">
        <v>52</v>
      </c>
      <c r="F26" s="5" t="s">
        <v>54</v>
      </c>
    </row>
    <row r="27" spans="2:9" x14ac:dyDescent="0.35">
      <c r="B27" s="11" t="s">
        <v>34</v>
      </c>
      <c r="C27" s="14"/>
      <c r="D27" s="14"/>
    </row>
    <row r="28" spans="2:9" x14ac:dyDescent="0.35">
      <c r="B28" s="11" t="s">
        <v>35</v>
      </c>
      <c r="C28" s="14"/>
      <c r="D28" s="14"/>
    </row>
    <row r="30" spans="2:9" x14ac:dyDescent="0.35">
      <c r="B30" s="5" t="s">
        <v>53</v>
      </c>
    </row>
    <row r="32" spans="2:9" x14ac:dyDescent="0.35">
      <c r="B32" s="25" t="s">
        <v>58</v>
      </c>
      <c r="C32" s="9" t="s">
        <v>40</v>
      </c>
      <c r="E32" s="5" t="s">
        <v>56</v>
      </c>
    </row>
    <row r="34" spans="2:4" x14ac:dyDescent="0.35">
      <c r="C34" s="32" t="s">
        <v>51</v>
      </c>
      <c r="D34" s="31" t="s">
        <v>52</v>
      </c>
    </row>
    <row r="35" spans="2:4" x14ac:dyDescent="0.35">
      <c r="B35" s="11" t="s">
        <v>34</v>
      </c>
      <c r="C35" s="33"/>
      <c r="D35" s="33"/>
    </row>
    <row r="36" spans="2:4" x14ac:dyDescent="0.35">
      <c r="B36" s="11" t="s">
        <v>35</v>
      </c>
      <c r="C36" s="33"/>
      <c r="D36" s="33"/>
    </row>
  </sheetData>
  <mergeCells count="2">
    <mergeCell ref="C17:I17"/>
    <mergeCell ref="C10:I10"/>
  </mergeCells>
  <dataValidations count="2">
    <dataValidation type="list" allowBlank="1" showInputMessage="1" showErrorMessage="1" sqref="C32" xr:uid="{661343A1-E6BA-4ECD-9E9A-4B238640F894}">
      <formula1>$C$18:$I$18</formula1>
    </dataValidation>
    <dataValidation type="list" allowBlank="1" showInputMessage="1" showErrorMessage="1" sqref="B35:B36 B27:B28" xr:uid="{D4AB2298-48BB-4576-AACC-06E39C7A043D}">
      <formula1>$B$12:$B$14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D512-90D8-4B65-959C-DE6E5236C697}">
  <dimension ref="A1:I36"/>
  <sheetViews>
    <sheetView topLeftCell="A8" workbookViewId="0">
      <selection activeCell="L16" sqref="L16"/>
    </sheetView>
  </sheetViews>
  <sheetFormatPr defaultRowHeight="14.5" x14ac:dyDescent="0.35"/>
  <cols>
    <col min="1" max="1" width="8.7265625" style="5"/>
    <col min="2" max="2" width="25.54296875" style="5" customWidth="1"/>
    <col min="3" max="8" width="11.08984375" style="5" customWidth="1"/>
    <col min="9" max="9" width="12.36328125" style="5" bestFit="1" customWidth="1"/>
    <col min="10" max="16384" width="8.7265625" style="5"/>
  </cols>
  <sheetData>
    <row r="1" spans="1:9" ht="25.5" x14ac:dyDescent="0.55000000000000004">
      <c r="A1" s="37" t="s">
        <v>29</v>
      </c>
      <c r="C1" s="23" t="s">
        <v>31</v>
      </c>
    </row>
    <row r="2" spans="1:9" ht="15.5" x14ac:dyDescent="0.35">
      <c r="C2" s="21" t="s">
        <v>30</v>
      </c>
    </row>
    <row r="3" spans="1:9" ht="15.5" x14ac:dyDescent="0.35">
      <c r="C3" s="21" t="s">
        <v>32</v>
      </c>
    </row>
    <row r="4" spans="1:9" ht="18" x14ac:dyDescent="0.4">
      <c r="C4" s="38" t="s">
        <v>33</v>
      </c>
      <c r="D4" s="39"/>
      <c r="E4" s="39"/>
    </row>
    <row r="6" spans="1:9" ht="29" x14ac:dyDescent="0.35">
      <c r="B6" s="34" t="s">
        <v>46</v>
      </c>
      <c r="C6" s="14">
        <f>D13</f>
        <v>4</v>
      </c>
    </row>
    <row r="7" spans="1:9" ht="29" x14ac:dyDescent="0.35">
      <c r="B7" s="34" t="s">
        <v>47</v>
      </c>
      <c r="C7" s="14" t="e" cm="1">
        <f t="array" aca="1" ref="C7" ca="1">INDIRECT(D13)</f>
        <v>#REF!</v>
      </c>
    </row>
    <row r="8" spans="1:9" ht="29" x14ac:dyDescent="0.35">
      <c r="B8" s="34" t="s">
        <v>48</v>
      </c>
      <c r="C8" s="14" cm="1">
        <f t="array" aca="1" ref="C8" ca="1">INDIRECT("D13")</f>
        <v>4</v>
      </c>
    </row>
    <row r="10" spans="1:9" x14ac:dyDescent="0.35">
      <c r="C10" s="43" t="s">
        <v>37</v>
      </c>
      <c r="D10" s="43"/>
      <c r="E10" s="43"/>
      <c r="F10" s="43"/>
      <c r="G10" s="43"/>
      <c r="H10" s="43"/>
      <c r="I10" s="43"/>
    </row>
    <row r="11" spans="1:9" x14ac:dyDescent="0.35">
      <c r="B11" s="35" t="s">
        <v>57</v>
      </c>
      <c r="C11" s="10" t="s">
        <v>38</v>
      </c>
      <c r="D11" s="10" t="s">
        <v>41</v>
      </c>
      <c r="E11" s="10" t="s">
        <v>42</v>
      </c>
      <c r="F11" s="10" t="s">
        <v>43</v>
      </c>
      <c r="G11" s="10" t="s">
        <v>44</v>
      </c>
      <c r="H11" s="10" t="s">
        <v>40</v>
      </c>
      <c r="I11" s="10" t="s">
        <v>39</v>
      </c>
    </row>
    <row r="12" spans="1:9" x14ac:dyDescent="0.35">
      <c r="B12" s="16" t="s">
        <v>34</v>
      </c>
      <c r="C12" s="13">
        <v>2</v>
      </c>
      <c r="D12" s="13">
        <v>2</v>
      </c>
      <c r="E12" s="13">
        <v>4</v>
      </c>
      <c r="F12" s="13">
        <v>3</v>
      </c>
      <c r="G12" s="13">
        <v>2</v>
      </c>
      <c r="H12" s="13">
        <v>1</v>
      </c>
      <c r="I12" s="13">
        <v>3</v>
      </c>
    </row>
    <row r="13" spans="1:9" x14ac:dyDescent="0.35">
      <c r="B13" s="16" t="s">
        <v>35</v>
      </c>
      <c r="C13" s="13">
        <v>3</v>
      </c>
      <c r="D13" s="13">
        <v>4</v>
      </c>
      <c r="E13" s="13">
        <v>2</v>
      </c>
      <c r="F13" s="13">
        <v>8</v>
      </c>
      <c r="G13" s="13">
        <v>2</v>
      </c>
      <c r="H13" s="13">
        <v>2</v>
      </c>
      <c r="I13" s="13">
        <v>2</v>
      </c>
    </row>
    <row r="14" spans="1:9" x14ac:dyDescent="0.35">
      <c r="B14" s="16" t="s">
        <v>36</v>
      </c>
      <c r="C14" s="13">
        <v>4</v>
      </c>
      <c r="D14" s="13">
        <v>4</v>
      </c>
      <c r="E14" s="13">
        <v>1</v>
      </c>
      <c r="F14" s="13">
        <v>1</v>
      </c>
      <c r="G14" s="13">
        <v>6</v>
      </c>
      <c r="H14" s="13">
        <v>3</v>
      </c>
      <c r="I14" s="13">
        <v>1</v>
      </c>
    </row>
    <row r="15" spans="1:9" x14ac:dyDescent="0.35">
      <c r="B15" s="11" t="s">
        <v>45</v>
      </c>
      <c r="C15" s="26">
        <f>SUM(C12:C14)</f>
        <v>9</v>
      </c>
      <c r="D15" s="26">
        <f t="shared" ref="D15:I15" si="0">SUM(D12:D14)</f>
        <v>10</v>
      </c>
      <c r="E15" s="26">
        <f t="shared" si="0"/>
        <v>7</v>
      </c>
      <c r="F15" s="26">
        <f t="shared" si="0"/>
        <v>12</v>
      </c>
      <c r="G15" s="26">
        <f t="shared" si="0"/>
        <v>10</v>
      </c>
      <c r="H15" s="26">
        <f t="shared" si="0"/>
        <v>6</v>
      </c>
      <c r="I15" s="26">
        <f t="shared" si="0"/>
        <v>6</v>
      </c>
    </row>
    <row r="17" spans="2:9" x14ac:dyDescent="0.35">
      <c r="C17" s="43" t="s">
        <v>37</v>
      </c>
      <c r="D17" s="43"/>
      <c r="E17" s="43"/>
      <c r="F17" s="43"/>
      <c r="G17" s="43"/>
      <c r="H17" s="43"/>
      <c r="I17" s="43"/>
    </row>
    <row r="18" spans="2:9" ht="29" x14ac:dyDescent="0.35">
      <c r="B18" s="36" t="s">
        <v>49</v>
      </c>
      <c r="C18" s="10" t="s">
        <v>38</v>
      </c>
      <c r="D18" s="10" t="s">
        <v>41</v>
      </c>
      <c r="E18" s="10" t="s">
        <v>42</v>
      </c>
      <c r="F18" s="10" t="s">
        <v>43</v>
      </c>
      <c r="G18" s="10" t="s">
        <v>44</v>
      </c>
      <c r="H18" s="10" t="s">
        <v>40</v>
      </c>
      <c r="I18" s="10" t="s">
        <v>39</v>
      </c>
    </row>
    <row r="19" spans="2:9" x14ac:dyDescent="0.35">
      <c r="B19" s="16" t="s">
        <v>34</v>
      </c>
      <c r="C19" s="12">
        <v>55</v>
      </c>
      <c r="D19" s="12">
        <v>60</v>
      </c>
      <c r="E19" s="12">
        <v>57</v>
      </c>
      <c r="F19" s="12">
        <v>81</v>
      </c>
      <c r="G19" s="12">
        <v>45</v>
      </c>
      <c r="H19" s="12">
        <v>73</v>
      </c>
      <c r="I19" s="12">
        <v>55</v>
      </c>
    </row>
    <row r="20" spans="2:9" x14ac:dyDescent="0.35">
      <c r="B20" s="16" t="s">
        <v>35</v>
      </c>
      <c r="C20" s="12">
        <v>35</v>
      </c>
      <c r="D20" s="12">
        <v>33</v>
      </c>
      <c r="E20" s="12">
        <v>31</v>
      </c>
      <c r="F20" s="12">
        <v>38</v>
      </c>
      <c r="G20" s="12">
        <v>32</v>
      </c>
      <c r="H20" s="12">
        <v>33</v>
      </c>
      <c r="I20" s="12">
        <v>39</v>
      </c>
    </row>
    <row r="21" spans="2:9" x14ac:dyDescent="0.35">
      <c r="B21" s="16" t="s">
        <v>36</v>
      </c>
      <c r="C21" s="12">
        <v>25</v>
      </c>
      <c r="D21" s="12">
        <v>30</v>
      </c>
      <c r="E21" s="12">
        <v>40</v>
      </c>
      <c r="F21" s="12">
        <v>23</v>
      </c>
      <c r="G21" s="12">
        <v>28</v>
      </c>
      <c r="H21" s="12">
        <v>19</v>
      </c>
      <c r="I21" s="12">
        <v>40</v>
      </c>
    </row>
    <row r="22" spans="2:9" x14ac:dyDescent="0.35">
      <c r="B22" s="11" t="s">
        <v>50</v>
      </c>
      <c r="C22" s="27">
        <f>AVERAGE(C19:C21)</f>
        <v>38.333333333333336</v>
      </c>
      <c r="D22" s="27">
        <f t="shared" ref="D22:I22" si="1">AVERAGE(D19:D21)</f>
        <v>41</v>
      </c>
      <c r="E22" s="27">
        <f t="shared" si="1"/>
        <v>42.666666666666664</v>
      </c>
      <c r="F22" s="27">
        <f t="shared" si="1"/>
        <v>47.333333333333336</v>
      </c>
      <c r="G22" s="27">
        <f t="shared" si="1"/>
        <v>35</v>
      </c>
      <c r="H22" s="27">
        <f t="shared" si="1"/>
        <v>41.666666666666664</v>
      </c>
      <c r="I22" s="27">
        <f t="shared" si="1"/>
        <v>44.666666666666664</v>
      </c>
    </row>
    <row r="24" spans="2:9" x14ac:dyDescent="0.35">
      <c r="B24" s="24" t="s">
        <v>55</v>
      </c>
    </row>
    <row r="26" spans="2:9" x14ac:dyDescent="0.35">
      <c r="B26" s="28"/>
      <c r="C26" s="29" t="s">
        <v>51</v>
      </c>
      <c r="D26" s="10" t="s">
        <v>52</v>
      </c>
      <c r="F26" s="5" t="s">
        <v>54</v>
      </c>
    </row>
    <row r="27" spans="2:9" x14ac:dyDescent="0.35">
      <c r="B27" s="11" t="s">
        <v>34</v>
      </c>
      <c r="C27" s="14">
        <f ca="1">VLOOKUP($B27,INDIRECT(C$26),3,FALSE)</f>
        <v>2</v>
      </c>
      <c r="D27" s="14">
        <f ca="1">VLOOKUP($B27,INDIRECT(D$26),3,FALSE)</f>
        <v>60</v>
      </c>
    </row>
    <row r="28" spans="2:9" x14ac:dyDescent="0.35">
      <c r="B28" s="11" t="s">
        <v>35</v>
      </c>
      <c r="C28" s="14">
        <f ca="1">VLOOKUP($B28,INDIRECT(C$26),3,FALSE)</f>
        <v>4</v>
      </c>
      <c r="D28" s="14">
        <f ca="1">VLOOKUP($B28,INDIRECT(D$26),3,FALSE)</f>
        <v>33</v>
      </c>
    </row>
    <row r="30" spans="2:9" x14ac:dyDescent="0.35">
      <c r="B30" s="5" t="s">
        <v>53</v>
      </c>
    </row>
    <row r="32" spans="2:9" x14ac:dyDescent="0.35">
      <c r="B32" s="35" t="s">
        <v>58</v>
      </c>
      <c r="C32" s="9" t="s">
        <v>40</v>
      </c>
      <c r="E32" s="5" t="s">
        <v>56</v>
      </c>
    </row>
    <row r="34" spans="2:4" x14ac:dyDescent="0.35">
      <c r="C34" s="32" t="s">
        <v>51</v>
      </c>
      <c r="D34" s="31" t="s">
        <v>52</v>
      </c>
    </row>
    <row r="35" spans="2:4" x14ac:dyDescent="0.35">
      <c r="B35" s="11" t="s">
        <v>34</v>
      </c>
      <c r="C35" s="33">
        <f ca="1">VLOOKUP($B35,INDIRECT(C$34),MATCH($C$32,INDEX(INDIRECT(C$34),2,0),0),FALSE)</f>
        <v>1</v>
      </c>
      <c r="D35" s="33">
        <f ca="1">VLOOKUP($B35,INDIRECT(D$34),MATCH($C$32,INDEX(INDIRECT(D$34),2,0),0),FALSE)</f>
        <v>73</v>
      </c>
    </row>
    <row r="36" spans="2:4" x14ac:dyDescent="0.35">
      <c r="B36" s="11" t="s">
        <v>35</v>
      </c>
      <c r="C36" s="33">
        <f ca="1">VLOOKUP($B36,INDIRECT(C$34),MATCH($C$32,INDEX(INDIRECT(C$34),2,0),0),FALSE)</f>
        <v>2</v>
      </c>
      <c r="D36" s="33">
        <f ca="1">VLOOKUP($B36,INDIRECT(D$34),MATCH($C$32,INDEX(INDIRECT(D$34),2,0),0),FALSE)</f>
        <v>33</v>
      </c>
    </row>
  </sheetData>
  <mergeCells count="2">
    <mergeCell ref="C10:I10"/>
    <mergeCell ref="C17:I17"/>
  </mergeCells>
  <dataValidations count="2">
    <dataValidation type="list" allowBlank="1" showInputMessage="1" showErrorMessage="1" sqref="B35:B36 B27:B28" xr:uid="{BFCA7387-9804-429E-B988-BDEE557988BE}">
      <formula1>$B$12:$B$14</formula1>
    </dataValidation>
    <dataValidation type="list" allowBlank="1" showInputMessage="1" showErrorMessage="1" sqref="C32" xr:uid="{491CFB62-AA4E-4417-9D2F-DF7DAE8BC634}">
      <formula1>$C$18:$I$18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C764-9857-4BC1-AEE4-F36B2BDEA6B9}">
  <dimension ref="A1:F46"/>
  <sheetViews>
    <sheetView workbookViewId="0">
      <selection activeCell="J41" sqref="J41"/>
    </sheetView>
  </sheetViews>
  <sheetFormatPr defaultRowHeight="14.5" x14ac:dyDescent="0.35"/>
  <cols>
    <col min="1" max="1" width="8.7265625" style="5"/>
    <col min="2" max="2" width="12.08984375" style="5" customWidth="1"/>
    <col min="3" max="14" width="8.7265625" style="5"/>
    <col min="15" max="15" width="20.6328125" style="5" bestFit="1" customWidth="1"/>
    <col min="16" max="16384" width="8.7265625" style="5"/>
  </cols>
  <sheetData>
    <row r="1" spans="1:5" ht="25.5" x14ac:dyDescent="0.55000000000000004">
      <c r="A1" s="37" t="s">
        <v>59</v>
      </c>
      <c r="C1" s="23" t="s">
        <v>60</v>
      </c>
    </row>
    <row r="2" spans="1:5" x14ac:dyDescent="0.35">
      <c r="C2" s="39" t="s">
        <v>61</v>
      </c>
      <c r="D2" s="39"/>
      <c r="E2" s="39"/>
    </row>
    <row r="3" spans="1:5" ht="25.5" x14ac:dyDescent="0.55000000000000004">
      <c r="A3" s="37" t="s">
        <v>62</v>
      </c>
      <c r="C3" s="5" t="s">
        <v>63</v>
      </c>
    </row>
    <row r="4" spans="1:5" x14ac:dyDescent="0.35">
      <c r="C4" s="39" t="s">
        <v>64</v>
      </c>
      <c r="D4" s="39"/>
    </row>
    <row r="5" spans="1:5" ht="25.5" x14ac:dyDescent="0.55000000000000004">
      <c r="A5" s="37" t="s">
        <v>65</v>
      </c>
      <c r="C5" s="23" t="s">
        <v>67</v>
      </c>
    </row>
    <row r="6" spans="1:5" ht="25.5" x14ac:dyDescent="0.55000000000000004">
      <c r="A6" s="22"/>
      <c r="C6" s="39" t="s">
        <v>70</v>
      </c>
      <c r="D6" s="39"/>
      <c r="E6" s="39"/>
    </row>
    <row r="7" spans="1:5" ht="25.5" x14ac:dyDescent="0.55000000000000004">
      <c r="A7" s="37" t="s">
        <v>66</v>
      </c>
      <c r="C7" s="5" t="s">
        <v>68</v>
      </c>
    </row>
    <row r="8" spans="1:5" x14ac:dyDescent="0.35">
      <c r="C8" s="39" t="s">
        <v>69</v>
      </c>
      <c r="D8" s="39"/>
    </row>
    <row r="10" spans="1:5" x14ac:dyDescent="0.35">
      <c r="B10" s="5" t="s">
        <v>74</v>
      </c>
    </row>
    <row r="12" spans="1:5" x14ac:dyDescent="0.35">
      <c r="B12" s="31" t="s">
        <v>71</v>
      </c>
      <c r="C12" s="41"/>
      <c r="D12" s="14"/>
    </row>
    <row r="13" spans="1:5" x14ac:dyDescent="0.35">
      <c r="B13" s="31" t="s">
        <v>73</v>
      </c>
      <c r="C13" s="41"/>
      <c r="D13" s="14"/>
    </row>
    <row r="14" spans="1:5" x14ac:dyDescent="0.35">
      <c r="B14" s="31" t="s">
        <v>72</v>
      </c>
      <c r="C14" s="41"/>
      <c r="D14" s="14"/>
    </row>
    <row r="15" spans="1:5" x14ac:dyDescent="0.35">
      <c r="B15" s="31" t="s">
        <v>75</v>
      </c>
      <c r="C15" s="41"/>
      <c r="D15" s="14"/>
    </row>
    <row r="16" spans="1:5" x14ac:dyDescent="0.35">
      <c r="B16" s="31" t="s">
        <v>76</v>
      </c>
      <c r="C16" s="41"/>
      <c r="D16" s="14"/>
      <c r="E16" s="31" t="s">
        <v>77</v>
      </c>
    </row>
    <row r="17" spans="2:6" x14ac:dyDescent="0.35">
      <c r="D17" s="14"/>
      <c r="E17" s="31" t="s">
        <v>78</v>
      </c>
    </row>
    <row r="20" spans="2:6" x14ac:dyDescent="0.35">
      <c r="B20" s="5" t="s">
        <v>79</v>
      </c>
    </row>
    <row r="22" spans="2:6" x14ac:dyDescent="0.35">
      <c r="B22" s="5" t="s">
        <v>80</v>
      </c>
      <c r="C22" s="5" t="s">
        <v>81</v>
      </c>
      <c r="D22" s="5" t="s">
        <v>82</v>
      </c>
      <c r="E22" s="5" t="s">
        <v>83</v>
      </c>
      <c r="F22" s="5" t="s">
        <v>84</v>
      </c>
    </row>
    <row r="23" spans="2:6" x14ac:dyDescent="0.35">
      <c r="B23" s="30" t="s">
        <v>85</v>
      </c>
      <c r="C23" s="5">
        <v>64400</v>
      </c>
      <c r="D23" s="5">
        <v>57960</v>
      </c>
      <c r="E23" s="5">
        <v>69552</v>
      </c>
      <c r="F23" s="5">
        <v>54740</v>
      </c>
    </row>
    <row r="24" spans="2:6" x14ac:dyDescent="0.35">
      <c r="B24" s="30" t="s">
        <v>86</v>
      </c>
      <c r="C24" s="5">
        <v>38400</v>
      </c>
      <c r="D24" s="5">
        <v>32760</v>
      </c>
      <c r="E24" s="5">
        <v>39312</v>
      </c>
      <c r="F24" s="5">
        <v>30940</v>
      </c>
    </row>
    <row r="25" spans="2:6" x14ac:dyDescent="0.35">
      <c r="B25" s="30" t="s">
        <v>87</v>
      </c>
      <c r="C25" s="5">
        <v>35000</v>
      </c>
      <c r="D25" s="5">
        <v>31500</v>
      </c>
      <c r="E25" s="5">
        <v>37800</v>
      </c>
      <c r="F25" s="5">
        <v>29750</v>
      </c>
    </row>
    <row r="26" spans="2:6" x14ac:dyDescent="0.35">
      <c r="B26" s="30" t="s">
        <v>88</v>
      </c>
      <c r="C26" s="5">
        <v>56000</v>
      </c>
      <c r="D26" s="5">
        <v>50400</v>
      </c>
      <c r="E26" s="5">
        <v>60480</v>
      </c>
      <c r="F26" s="5">
        <v>47800</v>
      </c>
    </row>
    <row r="27" spans="2:6" x14ac:dyDescent="0.35">
      <c r="B27" s="30" t="s">
        <v>89</v>
      </c>
      <c r="C27" s="5">
        <v>8100</v>
      </c>
      <c r="D27" s="5">
        <v>7290</v>
      </c>
      <c r="E27" s="5">
        <v>8748</v>
      </c>
      <c r="F27" s="5">
        <v>6885</v>
      </c>
    </row>
    <row r="29" spans="2:6" x14ac:dyDescent="0.35">
      <c r="B29" s="5" t="s">
        <v>90</v>
      </c>
    </row>
    <row r="31" spans="2:6" x14ac:dyDescent="0.35">
      <c r="B31" s="18" t="s">
        <v>80</v>
      </c>
      <c r="C31" s="18" t="s">
        <v>81</v>
      </c>
      <c r="D31" s="18" t="s">
        <v>82</v>
      </c>
      <c r="E31" s="18" t="s">
        <v>83</v>
      </c>
      <c r="F31" s="18" t="s">
        <v>84</v>
      </c>
    </row>
    <row r="32" spans="2:6" x14ac:dyDescent="0.35">
      <c r="B32" s="42" t="s">
        <v>85</v>
      </c>
      <c r="C32" s="14"/>
      <c r="D32" s="14"/>
      <c r="E32" s="14"/>
      <c r="F32" s="14"/>
    </row>
    <row r="33" spans="2:6" x14ac:dyDescent="0.35">
      <c r="B33" s="42" t="s">
        <v>87</v>
      </c>
      <c r="C33" s="14"/>
      <c r="D33" s="14"/>
      <c r="E33" s="14"/>
      <c r="F33" s="14"/>
    </row>
    <row r="34" spans="2:6" x14ac:dyDescent="0.35">
      <c r="B34" s="42" t="s">
        <v>86</v>
      </c>
      <c r="C34" s="14"/>
      <c r="D34" s="14"/>
      <c r="E34" s="14"/>
      <c r="F34" s="14"/>
    </row>
    <row r="36" spans="2:6" x14ac:dyDescent="0.35">
      <c r="B36" s="5" t="s">
        <v>91</v>
      </c>
    </row>
    <row r="38" spans="2:6" x14ac:dyDescent="0.35">
      <c r="B38" s="19" t="s">
        <v>92</v>
      </c>
    </row>
    <row r="39" spans="2:6" x14ac:dyDescent="0.35">
      <c r="B39" s="19">
        <v>9065</v>
      </c>
      <c r="D39" s="10" t="s">
        <v>93</v>
      </c>
      <c r="E39" s="14"/>
    </row>
    <row r="40" spans="2:6" x14ac:dyDescent="0.35">
      <c r="B40" s="19">
        <v>38293</v>
      </c>
      <c r="D40" s="10" t="s">
        <v>94</v>
      </c>
      <c r="E40" s="14"/>
    </row>
    <row r="41" spans="2:6" x14ac:dyDescent="0.35">
      <c r="B41" s="19">
        <v>20394</v>
      </c>
      <c r="D41" s="10" t="s">
        <v>95</v>
      </c>
      <c r="E41" s="14"/>
    </row>
    <row r="42" spans="2:6" x14ac:dyDescent="0.35">
      <c r="B42" s="19">
        <v>45003</v>
      </c>
    </row>
    <row r="43" spans="2:6" x14ac:dyDescent="0.35">
      <c r="B43" s="19">
        <v>57483</v>
      </c>
    </row>
    <row r="44" spans="2:6" x14ac:dyDescent="0.35">
      <c r="B44" s="19">
        <v>78394</v>
      </c>
    </row>
    <row r="45" spans="2:6" x14ac:dyDescent="0.35">
      <c r="B45" s="19">
        <v>1023</v>
      </c>
    </row>
    <row r="46" spans="2:6" x14ac:dyDescent="0.35">
      <c r="B46" s="19">
        <v>17145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328D-63AF-4510-803C-64BA41D7B4C7}">
  <dimension ref="A1:F46"/>
  <sheetViews>
    <sheetView workbookViewId="0">
      <selection activeCell="F45" sqref="F45"/>
    </sheetView>
  </sheetViews>
  <sheetFormatPr defaultRowHeight="14.5" x14ac:dyDescent="0.35"/>
  <cols>
    <col min="1" max="1" width="8.7265625" style="5"/>
    <col min="2" max="2" width="12.08984375" style="5" customWidth="1"/>
    <col min="3" max="14" width="8.7265625" style="5"/>
    <col min="15" max="15" width="20.6328125" style="5" bestFit="1" customWidth="1"/>
    <col min="16" max="16384" width="8.7265625" style="5"/>
  </cols>
  <sheetData>
    <row r="1" spans="1:5" ht="25.5" x14ac:dyDescent="0.55000000000000004">
      <c r="A1" s="37" t="s">
        <v>59</v>
      </c>
      <c r="C1" s="23" t="s">
        <v>60</v>
      </c>
    </row>
    <row r="2" spans="1:5" x14ac:dyDescent="0.35">
      <c r="C2" s="39" t="s">
        <v>61</v>
      </c>
      <c r="D2" s="39"/>
      <c r="E2" s="39"/>
    </row>
    <row r="3" spans="1:5" ht="25.5" x14ac:dyDescent="0.55000000000000004">
      <c r="A3" s="37" t="s">
        <v>62</v>
      </c>
      <c r="C3" s="5" t="s">
        <v>63</v>
      </c>
    </row>
    <row r="4" spans="1:5" x14ac:dyDescent="0.35">
      <c r="C4" s="39" t="s">
        <v>64</v>
      </c>
      <c r="D4" s="39"/>
    </row>
    <row r="5" spans="1:5" ht="25.5" x14ac:dyDescent="0.55000000000000004">
      <c r="A5" s="37" t="s">
        <v>65</v>
      </c>
      <c r="C5" s="23" t="s">
        <v>67</v>
      </c>
    </row>
    <row r="6" spans="1:5" ht="25.5" x14ac:dyDescent="0.55000000000000004">
      <c r="A6" s="22"/>
      <c r="C6" s="39" t="s">
        <v>70</v>
      </c>
      <c r="D6" s="39"/>
      <c r="E6" s="39"/>
    </row>
    <row r="7" spans="1:5" ht="25.5" x14ac:dyDescent="0.55000000000000004">
      <c r="A7" s="37" t="s">
        <v>66</v>
      </c>
      <c r="C7" s="5" t="s">
        <v>68</v>
      </c>
    </row>
    <row r="8" spans="1:5" x14ac:dyDescent="0.35">
      <c r="C8" s="39" t="s">
        <v>69</v>
      </c>
      <c r="D8" s="39"/>
    </row>
    <row r="10" spans="1:5" x14ac:dyDescent="0.35">
      <c r="B10" s="5" t="s">
        <v>74</v>
      </c>
    </row>
    <row r="12" spans="1:5" x14ac:dyDescent="0.35">
      <c r="B12" s="31" t="s">
        <v>71</v>
      </c>
      <c r="C12" s="41"/>
      <c r="D12" s="14">
        <f>ROW()</f>
        <v>12</v>
      </c>
    </row>
    <row r="13" spans="1:5" x14ac:dyDescent="0.35">
      <c r="B13" s="31" t="s">
        <v>73</v>
      </c>
      <c r="C13" s="41"/>
      <c r="D13" s="14">
        <f>ROW(C13)</f>
        <v>13</v>
      </c>
    </row>
    <row r="14" spans="1:5" x14ac:dyDescent="0.35">
      <c r="B14" s="31" t="s">
        <v>72</v>
      </c>
      <c r="C14" s="41"/>
      <c r="D14" s="14">
        <f>COLUMN()</f>
        <v>4</v>
      </c>
    </row>
    <row r="15" spans="1:5" x14ac:dyDescent="0.35">
      <c r="B15" s="31" t="s">
        <v>75</v>
      </c>
      <c r="C15" s="41"/>
      <c r="D15" s="14">
        <f>COLUMN(C13)</f>
        <v>3</v>
      </c>
    </row>
    <row r="16" spans="1:5" x14ac:dyDescent="0.35">
      <c r="B16" s="31" t="s">
        <v>76</v>
      </c>
      <c r="C16" s="41"/>
      <c r="D16" s="14">
        <f>ROWS(C13:D24)</f>
        <v>12</v>
      </c>
      <c r="E16" s="31" t="s">
        <v>77</v>
      </c>
    </row>
    <row r="17" spans="2:6" x14ac:dyDescent="0.35">
      <c r="D17" s="14">
        <f>COLUMNS(C13:D24)</f>
        <v>2</v>
      </c>
      <c r="E17" s="31" t="s">
        <v>78</v>
      </c>
    </row>
    <row r="20" spans="2:6" x14ac:dyDescent="0.35">
      <c r="B20" s="5" t="s">
        <v>79</v>
      </c>
    </row>
    <row r="22" spans="2:6" x14ac:dyDescent="0.35">
      <c r="B22" s="5" t="s">
        <v>80</v>
      </c>
      <c r="C22" s="5" t="s">
        <v>81</v>
      </c>
      <c r="D22" s="5" t="s">
        <v>82</v>
      </c>
      <c r="E22" s="5" t="s">
        <v>83</v>
      </c>
      <c r="F22" s="5" t="s">
        <v>84</v>
      </c>
    </row>
    <row r="23" spans="2:6" x14ac:dyDescent="0.35">
      <c r="B23" s="30" t="s">
        <v>85</v>
      </c>
      <c r="C23" s="5">
        <v>64400</v>
      </c>
      <c r="D23" s="5">
        <v>57960</v>
      </c>
      <c r="E23" s="5">
        <v>69552</v>
      </c>
      <c r="F23" s="5">
        <v>54740</v>
      </c>
    </row>
    <row r="24" spans="2:6" x14ac:dyDescent="0.35">
      <c r="B24" s="30" t="s">
        <v>86</v>
      </c>
      <c r="C24" s="5">
        <v>38400</v>
      </c>
      <c r="D24" s="5">
        <v>32760</v>
      </c>
      <c r="E24" s="5">
        <v>39312</v>
      </c>
      <c r="F24" s="5">
        <v>30940</v>
      </c>
    </row>
    <row r="25" spans="2:6" x14ac:dyDescent="0.35">
      <c r="B25" s="30" t="s">
        <v>87</v>
      </c>
      <c r="C25" s="5">
        <v>35000</v>
      </c>
      <c r="D25" s="5">
        <v>31500</v>
      </c>
      <c r="E25" s="5">
        <v>37800</v>
      </c>
      <c r="F25" s="5">
        <v>29750</v>
      </c>
    </row>
    <row r="26" spans="2:6" x14ac:dyDescent="0.35">
      <c r="B26" s="30" t="s">
        <v>88</v>
      </c>
      <c r="C26" s="5">
        <v>56000</v>
      </c>
      <c r="D26" s="5">
        <v>50400</v>
      </c>
      <c r="E26" s="5">
        <v>60480</v>
      </c>
      <c r="F26" s="5">
        <v>47800</v>
      </c>
    </row>
    <row r="27" spans="2:6" x14ac:dyDescent="0.35">
      <c r="B27" s="30" t="s">
        <v>89</v>
      </c>
      <c r="C27" s="5">
        <v>8100</v>
      </c>
      <c r="D27" s="5">
        <v>7290</v>
      </c>
      <c r="E27" s="5">
        <v>8748</v>
      </c>
      <c r="F27" s="5">
        <v>6885</v>
      </c>
    </row>
    <row r="29" spans="2:6" x14ac:dyDescent="0.35">
      <c r="B29" s="5" t="s">
        <v>90</v>
      </c>
    </row>
    <row r="31" spans="2:6" x14ac:dyDescent="0.35">
      <c r="B31" s="18" t="s">
        <v>80</v>
      </c>
      <c r="C31" s="18" t="s">
        <v>81</v>
      </c>
      <c r="D31" s="18" t="s">
        <v>82</v>
      </c>
      <c r="E31" s="18" t="s">
        <v>83</v>
      </c>
      <c r="F31" s="18" t="s">
        <v>84</v>
      </c>
    </row>
    <row r="32" spans="2:6" x14ac:dyDescent="0.35">
      <c r="B32" s="42" t="s">
        <v>85</v>
      </c>
      <c r="C32" s="14">
        <f>VLOOKUP($B32,ProductTable6[],COLUMNS($B:C),FALSE)</f>
        <v>64400</v>
      </c>
      <c r="D32" s="14">
        <f>VLOOKUP($B32,ProductTable6[],COLUMNS($B:D),FALSE)</f>
        <v>57960</v>
      </c>
      <c r="E32" s="14">
        <f>VLOOKUP($B32,ProductTable6[],COLUMNS($B:E),FALSE)</f>
        <v>69552</v>
      </c>
      <c r="F32" s="14">
        <f>VLOOKUP($B32,ProductTable6[],COLUMNS($B:F),FALSE)</f>
        <v>54740</v>
      </c>
    </row>
    <row r="33" spans="2:6" x14ac:dyDescent="0.35">
      <c r="B33" s="42" t="s">
        <v>87</v>
      </c>
      <c r="C33" s="14">
        <f>VLOOKUP($B33,ProductTable6[],COLUMNS($B:C),FALSE)</f>
        <v>35000</v>
      </c>
      <c r="D33" s="14">
        <f>VLOOKUP($B33,ProductTable6[],COLUMNS($B:D),FALSE)</f>
        <v>31500</v>
      </c>
      <c r="E33" s="14">
        <f>VLOOKUP($B33,ProductTable6[],COLUMNS($B:E),FALSE)</f>
        <v>37800</v>
      </c>
      <c r="F33" s="14">
        <f>VLOOKUP($B33,ProductTable6[],COLUMNS($B:F),FALSE)</f>
        <v>29750</v>
      </c>
    </row>
    <row r="34" spans="2:6" x14ac:dyDescent="0.35">
      <c r="B34" s="42" t="s">
        <v>86</v>
      </c>
      <c r="C34" s="14">
        <f>VLOOKUP($B34,ProductTable6[],COLUMNS($B:C),FALSE)</f>
        <v>38400</v>
      </c>
      <c r="D34" s="14">
        <f>VLOOKUP($B34,ProductTable6[],COLUMNS($B:D),FALSE)</f>
        <v>32760</v>
      </c>
      <c r="E34" s="14">
        <f>VLOOKUP($B34,ProductTable6[],COLUMNS($B:E),FALSE)</f>
        <v>39312</v>
      </c>
      <c r="F34" s="14">
        <f>VLOOKUP($B34,ProductTable6[],COLUMNS($B:F),FALSE)</f>
        <v>30940</v>
      </c>
    </row>
    <row r="36" spans="2:6" x14ac:dyDescent="0.35">
      <c r="B36" s="5" t="s">
        <v>91</v>
      </c>
    </row>
    <row r="38" spans="2:6" x14ac:dyDescent="0.35">
      <c r="B38" s="19" t="s">
        <v>92</v>
      </c>
    </row>
    <row r="39" spans="2:6" x14ac:dyDescent="0.35">
      <c r="B39" s="19">
        <v>9065</v>
      </c>
      <c r="D39" s="10" t="s">
        <v>93</v>
      </c>
      <c r="E39" s="14">
        <f>SMALL(Table27[Sales],ROWS($1:1))</f>
        <v>1023</v>
      </c>
    </row>
    <row r="40" spans="2:6" x14ac:dyDescent="0.35">
      <c r="B40" s="19">
        <v>38293</v>
      </c>
      <c r="D40" s="10" t="s">
        <v>94</v>
      </c>
      <c r="E40" s="14">
        <f>SMALL(Table27[Sales],ROWS($1:2))</f>
        <v>9065</v>
      </c>
    </row>
    <row r="41" spans="2:6" x14ac:dyDescent="0.35">
      <c r="B41" s="19">
        <v>20394</v>
      </c>
      <c r="D41" s="10" t="s">
        <v>95</v>
      </c>
      <c r="E41" s="14">
        <f>SMALL(Table27[Sales],ROWS($1:3))</f>
        <v>17145</v>
      </c>
    </row>
    <row r="42" spans="2:6" x14ac:dyDescent="0.35">
      <c r="B42" s="19">
        <v>45003</v>
      </c>
    </row>
    <row r="43" spans="2:6" x14ac:dyDescent="0.35">
      <c r="B43" s="19">
        <v>57483</v>
      </c>
    </row>
    <row r="44" spans="2:6" x14ac:dyDescent="0.35">
      <c r="B44" s="19">
        <v>78394</v>
      </c>
    </row>
    <row r="45" spans="2:6" x14ac:dyDescent="0.35">
      <c r="B45" s="19">
        <v>1023</v>
      </c>
    </row>
    <row r="46" spans="2:6" x14ac:dyDescent="0.35">
      <c r="B46" s="19">
        <v>17145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4BBD53-F7E6-43E9-909C-6EFF8A2590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1062EF-4E3B-4DAC-A230-CDDDE7751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91d98-7809-481a-a1ac-bd62ec4f59fb"/>
    <ds:schemaRef ds:uri="85e6ab8e-cbd2-4a96-93f4-452498ebce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Content</vt:lpstr>
      <vt:lpstr>OFFSET_RAW</vt:lpstr>
      <vt:lpstr>OFFSET_SOLVED</vt:lpstr>
      <vt:lpstr>INDIRECT_RAW</vt:lpstr>
      <vt:lpstr>INDIRECT_SOLVED</vt:lpstr>
      <vt:lpstr>ROWS_COLUMNS_RAW</vt:lpstr>
      <vt:lpstr>ROWS_COLUMNS_SOLVED</vt:lpstr>
      <vt:lpstr>Personnel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Xavier Hernanz</cp:lastModifiedBy>
  <dcterms:created xsi:type="dcterms:W3CDTF">2023-08-30T07:32:28Z</dcterms:created>
  <dcterms:modified xsi:type="dcterms:W3CDTF">2023-09-06T13:23:27Z</dcterms:modified>
</cp:coreProperties>
</file>