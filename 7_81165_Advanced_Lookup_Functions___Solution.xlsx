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defaultThemeVersion="124226"/>
  <mc:AlternateContent xmlns:mc="http://schemas.openxmlformats.org/markup-compatibility/2006">
    <mc:Choice Requires="x15">
      <x15ac:absPath xmlns:x15ac="http://schemas.microsoft.com/office/spreadsheetml/2010/11/ac" url="https://miconline.sharepoint.com/sites/2209EADAConsumerApps/Documentos compartidos/General/Materiales/MIC MATERIAL 2023-24/EXCEL_Year1/EXCEL/Session8/"/>
    </mc:Choice>
  </mc:AlternateContent>
  <xr:revisionPtr revIDLastSave="711" documentId="11_B35BFED7E8E3243B68AA572E9F9BA8175312EF14" xr6:coauthVersionLast="47" xr6:coauthVersionMax="47" xr10:uidLastSave="{DFBE1A91-28CF-4002-95C0-E56786EFF12A}"/>
  <bookViews>
    <workbookView minimized="1" xWindow="-9345" yWindow="-21000" windowWidth="35250" windowHeight="21000" tabRatio="923" activeTab="3" xr2:uid="{00000000-000D-0000-FFFF-FFFF00000000}"/>
  </bookViews>
  <sheets>
    <sheet name="Content" sheetId="17" r:id="rId1"/>
    <sheet name="Exercise1_SOLVED" sheetId="1" r:id="rId2"/>
    <sheet name="VLOOKUP Limitation" sheetId="18" r:id="rId3"/>
    <sheet name="INDEX and MATCH Functons" sheetId="19" r:id="rId4"/>
    <sheet name="Exercise2_SOLVED" sheetId="22" r:id="rId5"/>
    <sheet name="LOOKUP Function" sheetId="23" r:id="rId6"/>
    <sheet name="Exercise3_SOLVED" sheetId="3" r:id="rId7"/>
    <sheet name="Exercise4_SOLVED" sheetId="5" r:id="rId8"/>
    <sheet name="Exercise5_SOLVED" sheetId="6" r:id="rId9"/>
    <sheet name="Exercise6_SOLVED" sheetId="7" r:id="rId10"/>
    <sheet name="INDIRECT Function" sheetId="8" r:id="rId11"/>
    <sheet name="Exercise7_SOLVED" sheetId="9" r:id="rId12"/>
    <sheet name="Exercise8_SOLVED" sheetId="15" r:id="rId13"/>
    <sheet name="Lists" sheetId="21" r:id="rId14"/>
  </sheets>
  <externalReferences>
    <externalReference r:id="rId15"/>
  </externalReferences>
  <definedNames>
    <definedName name="Listas_Estados">#REF!</definedName>
    <definedName name="Married">'INDIRECT Function'!$B$16:$E$23</definedName>
    <definedName name="Max_cups" localSheetId="4">#REF!</definedName>
    <definedName name="Max_cups" localSheetId="3">#REF!</definedName>
    <definedName name="Max_cups">#REF!</definedName>
    <definedName name="Max_mocha" localSheetId="4">#REF!</definedName>
    <definedName name="Max_mocha" localSheetId="3">#REF!</definedName>
    <definedName name="Max_mocha">#REF!</definedName>
    <definedName name="Max_premium" localSheetId="4">#REF!</definedName>
    <definedName name="Max_premium" localSheetId="3">#REF!</definedName>
    <definedName name="Max_premium">#REF!</definedName>
    <definedName name="Single">'INDIRECT Function'!$B$27:$E$34</definedName>
    <definedName name="Tipo_Estados">'[1]Formato Condicional1_Solved'!$L$5:$L$7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15" l="1"/>
  <c r="D26" i="6"/>
  <c r="K17" i="23"/>
  <c r="K16" i="23"/>
  <c r="D25" i="3"/>
  <c r="D19" i="3"/>
  <c r="D12" i="3"/>
  <c r="I47" i="19" l="1"/>
  <c r="I46" i="19"/>
  <c r="E9" i="22"/>
  <c r="D10" i="22" s="1" a="1"/>
  <c r="D10" i="22" s="1"/>
  <c r="J35" i="19"/>
  <c r="J34" i="19"/>
  <c r="J33" i="19"/>
  <c r="J32" i="19"/>
  <c r="J31" i="19"/>
  <c r="F19" i="19"/>
  <c r="G19" i="19" s="1"/>
  <c r="F20" i="19"/>
  <c r="G20" i="19" s="1"/>
  <c r="F21" i="19"/>
  <c r="G21" i="19" s="1"/>
  <c r="F22" i="19"/>
  <c r="G22" i="19" s="1"/>
  <c r="F23" i="19"/>
  <c r="G23" i="19" s="1"/>
  <c r="M18" i="1" l="1"/>
  <c r="O20" i="1" s="1"/>
  <c r="D18" i="3" l="1"/>
  <c r="G21" i="15" l="1"/>
  <c r="G19" i="15"/>
  <c r="F19" i="15"/>
  <c r="G10" i="9" l="1"/>
  <c r="G11" i="9"/>
  <c r="G12" i="9"/>
  <c r="G13" i="9"/>
  <c r="G14" i="9"/>
  <c r="G9" i="9"/>
  <c r="D15" i="9"/>
  <c r="E15" i="9"/>
  <c r="F15" i="9"/>
  <c r="C15" i="9"/>
  <c r="C20" i="9"/>
  <c r="G15" i="9" l="1"/>
  <c r="D38" i="8"/>
  <c r="D40" i="8"/>
  <c r="D22" i="7"/>
  <c r="D20" i="7"/>
  <c r="D23" i="7" s="1"/>
  <c r="D22" i="6"/>
  <c r="D24" i="6"/>
  <c r="D25" i="7" l="1"/>
  <c r="D26" i="7" a="1"/>
  <c r="D26" i="7" s="1"/>
  <c r="D25" i="6"/>
  <c r="D41" i="8"/>
  <c r="D42" i="8"/>
  <c r="D20" i="5" l="1"/>
  <c r="D21" i="5"/>
  <c r="D22" i="5"/>
  <c r="D23" i="5"/>
  <c r="D24" i="5"/>
  <c r="D25" i="5"/>
  <c r="D26" i="5"/>
  <c r="D27" i="5"/>
  <c r="D28" i="5"/>
  <c r="D29" i="5"/>
  <c r="D30" i="5"/>
  <c r="D31" i="5"/>
  <c r="D32" i="5"/>
  <c r="D33" i="5"/>
  <c r="D34" i="5"/>
  <c r="D35" i="5"/>
  <c r="D36" i="5"/>
  <c r="D37" i="5"/>
  <c r="D38" i="5"/>
  <c r="D39" i="5"/>
  <c r="D40" i="5"/>
  <c r="D41" i="5"/>
  <c r="M14" i="1" l="1"/>
  <c r="L16" i="1"/>
  <c r="O19" i="1"/>
  <c r="O18" i="1" l="1"/>
  <c r="O22" i="1" s="1"/>
  <c r="O1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<sst xmlns="http://schemas.openxmlformats.org/spreadsheetml/2006/main" count="909" uniqueCount="590">
  <si>
    <t>ID</t>
  </si>
  <si>
    <t>Employee Name</t>
  </si>
  <si>
    <t>Frequency</t>
  </si>
  <si>
    <t>Salary</t>
  </si>
  <si>
    <t>Tax Rate</t>
  </si>
  <si>
    <t>Elizabeth Marshall</t>
  </si>
  <si>
    <t>Jackson Stephens</t>
  </si>
  <si>
    <t>Paige Jones</t>
  </si>
  <si>
    <t>Kaylee Perez</t>
  </si>
  <si>
    <t>Isabella Harris</t>
  </si>
  <si>
    <t>Jesus Clark</t>
  </si>
  <si>
    <t>Elijah Ward</t>
  </si>
  <si>
    <t>Kimberly Hall</t>
  </si>
  <si>
    <t>Cooper Smith</t>
  </si>
  <si>
    <t>Kylie Woods</t>
  </si>
  <si>
    <t>Pay</t>
  </si>
  <si>
    <t>Taxes</t>
  </si>
  <si>
    <t>Net Pay</t>
  </si>
  <si>
    <t>Employee ID</t>
  </si>
  <si>
    <t>Check #</t>
  </si>
  <si>
    <t>Employee Address</t>
  </si>
  <si>
    <t>Deductions</t>
  </si>
  <si>
    <t>Total</t>
  </si>
  <si>
    <t>Insurance</t>
  </si>
  <si>
    <t>401k</t>
  </si>
  <si>
    <t>Address</t>
  </si>
  <si>
    <t>427 John A. Creighton Boulevard Anytown, USA 12345</t>
  </si>
  <si>
    <t>888 192nd Street Anytown, USA 12345</t>
  </si>
  <si>
    <t>530 Dodge Street Anytown, USA 12345</t>
  </si>
  <si>
    <t>271 Dodge Street Anytown, USA 12345</t>
  </si>
  <si>
    <t>715 136th Street Anytown, USA 12345</t>
  </si>
  <si>
    <t>772 North 30th Street Anytown, USA 12345</t>
  </si>
  <si>
    <t>652 Regency Parkway Drive Anytown, USA 12345</t>
  </si>
  <si>
    <t>803 Fontenelle Boulevard Anytown, USA 12345</t>
  </si>
  <si>
    <t>245 Fontenelle Boulevard Anytown, USA 12345</t>
  </si>
  <si>
    <t>827 Harrison Street Anytown, USA 12345</t>
  </si>
  <si>
    <t>Retirement</t>
  </si>
  <si>
    <t>City</t>
  </si>
  <si>
    <t>State</t>
  </si>
  <si>
    <t>CA</t>
  </si>
  <si>
    <t>TX</t>
  </si>
  <si>
    <t>WA</t>
  </si>
  <si>
    <t>AZ</t>
  </si>
  <si>
    <t>Tacoma</t>
  </si>
  <si>
    <t>Chandler</t>
  </si>
  <si>
    <t>Lafayette</t>
  </si>
  <si>
    <t>LA</t>
  </si>
  <si>
    <t>Carrollton</t>
  </si>
  <si>
    <t>MO</t>
  </si>
  <si>
    <t>NC</t>
  </si>
  <si>
    <t>Albuquerque</t>
  </si>
  <si>
    <t>NM</t>
  </si>
  <si>
    <t>Green Bay</t>
  </si>
  <si>
    <t>WI</t>
  </si>
  <si>
    <t>PA</t>
  </si>
  <si>
    <t>FL</t>
  </si>
  <si>
    <t>OR</t>
  </si>
  <si>
    <t>Erie</t>
  </si>
  <si>
    <t>Clarksville</t>
  </si>
  <si>
    <t>TN</t>
  </si>
  <si>
    <t>Elizabeth</t>
  </si>
  <si>
    <t>NJ</t>
  </si>
  <si>
    <t>Providence</t>
  </si>
  <si>
    <t>RI</t>
  </si>
  <si>
    <t>Toledo</t>
  </si>
  <si>
    <t>OH</t>
  </si>
  <si>
    <t>Gainesville</t>
  </si>
  <si>
    <t>Indianapolis</t>
  </si>
  <si>
    <t>IN</t>
  </si>
  <si>
    <t>MI</t>
  </si>
  <si>
    <t>Billings</t>
  </si>
  <si>
    <t>MT</t>
  </si>
  <si>
    <t>Grand Rapids</t>
  </si>
  <si>
    <t>Peoria</t>
  </si>
  <si>
    <t>IL</t>
  </si>
  <si>
    <t>Tulsa</t>
  </si>
  <si>
    <t>OK</t>
  </si>
  <si>
    <t>Raleigh</t>
  </si>
  <si>
    <t>Glendale</t>
  </si>
  <si>
    <t>Portland</t>
  </si>
  <si>
    <t>Fort Collins</t>
  </si>
  <si>
    <t>CO</t>
  </si>
  <si>
    <t>Manchester</t>
  </si>
  <si>
    <t>NH</t>
  </si>
  <si>
    <t>St. Louis</t>
  </si>
  <si>
    <t>State:</t>
  </si>
  <si>
    <t>City:</t>
  </si>
  <si>
    <t>Store #</t>
  </si>
  <si>
    <t>Store:</t>
  </si>
  <si>
    <t>Temp</t>
  </si>
  <si>
    <t>Anadyr</t>
  </si>
  <si>
    <t>Mumbai</t>
  </si>
  <si>
    <t>Casablanca</t>
  </si>
  <si>
    <t>Chongqing</t>
  </si>
  <si>
    <t>Edmonton</t>
  </si>
  <si>
    <t>São Paulo</t>
  </si>
  <si>
    <t>Honiara</t>
  </si>
  <si>
    <t>Kathmandu</t>
  </si>
  <si>
    <t>Lhasa</t>
  </si>
  <si>
    <t>Lisbon</t>
  </si>
  <si>
    <t>Your City:</t>
  </si>
  <si>
    <t>Your Temp:</t>
  </si>
  <si>
    <t xml:space="preserve">Lawrence J. Ellison </t>
  </si>
  <si>
    <t xml:space="preserve">Elon Musk </t>
  </si>
  <si>
    <t xml:space="preserve">Mario J. Gabelli </t>
  </si>
  <si>
    <t xml:space="preserve">Robert A. Kotick </t>
  </si>
  <si>
    <t xml:space="preserve">Leslie Moonves </t>
  </si>
  <si>
    <t xml:space="preserve">Charif Souki </t>
  </si>
  <si>
    <t xml:space="preserve">Brett A. Roberts </t>
  </si>
  <si>
    <t xml:space="preserve">John H. Hammergren </t>
  </si>
  <si>
    <t xml:space="preserve">David M. Zaslav </t>
  </si>
  <si>
    <t xml:space="preserve">Richard M. Bracken </t>
  </si>
  <si>
    <t xml:space="preserve">Gregory B. Maffei </t>
  </si>
  <si>
    <t xml:space="preserve">Richard B. Handler </t>
  </si>
  <si>
    <t xml:space="preserve">James Q. Crowe </t>
  </si>
  <si>
    <t xml:space="preserve">R. W. Tillerson </t>
  </si>
  <si>
    <t xml:space="preserve">Robert A. Iger </t>
  </si>
  <si>
    <t xml:space="preserve">Paul A. Ricci </t>
  </si>
  <si>
    <t xml:space="preserve">Marissa A. Mayer </t>
  </si>
  <si>
    <t xml:space="preserve">Ralph Lauren </t>
  </si>
  <si>
    <t xml:space="preserve">Mark G. Parker </t>
  </si>
  <si>
    <t xml:space="preserve">Lawrence Kingsley </t>
  </si>
  <si>
    <t xml:space="preserve">Philippe P. Dauman </t>
  </si>
  <si>
    <t xml:space="preserve">David M. Cote </t>
  </si>
  <si>
    <t>Name</t>
  </si>
  <si>
    <t>2012  Salary</t>
  </si>
  <si>
    <t xml:space="preserve">Oracle Corp </t>
  </si>
  <si>
    <t xml:space="preserve">Tesla Motors Inc </t>
  </si>
  <si>
    <t xml:space="preserve">Gamco Investors Inc </t>
  </si>
  <si>
    <t xml:space="preserve">Activision Blizzard Inc </t>
  </si>
  <si>
    <t xml:space="preserve">Cheniere Energy Inc </t>
  </si>
  <si>
    <t xml:space="preserve">Credit Acceptance Corp </t>
  </si>
  <si>
    <t xml:space="preserve">Mckesson Corp </t>
  </si>
  <si>
    <t xml:space="preserve">Discovery Communications Inc </t>
  </si>
  <si>
    <t xml:space="preserve">Liberty Interactive Corp </t>
  </si>
  <si>
    <t xml:space="preserve">Jefferies Group Llc </t>
  </si>
  <si>
    <t xml:space="preserve">Level 3 Communications Inc </t>
  </si>
  <si>
    <t xml:space="preserve">Exxon Mobil Corp </t>
  </si>
  <si>
    <t xml:space="preserve">Disney (Walt) Co </t>
  </si>
  <si>
    <t xml:space="preserve">Nuance Communications Inc </t>
  </si>
  <si>
    <t xml:space="preserve">Yahoo Inc </t>
  </si>
  <si>
    <t xml:space="preserve">Ralph Lauren Corp </t>
  </si>
  <si>
    <t xml:space="preserve">Nike Inc </t>
  </si>
  <si>
    <t xml:space="preserve">Pall Corp </t>
  </si>
  <si>
    <t xml:space="preserve">Viacom Inc </t>
  </si>
  <si>
    <t xml:space="preserve">Honeywell International Inc </t>
  </si>
  <si>
    <t xml:space="preserve">CBS Corp </t>
  </si>
  <si>
    <t xml:space="preserve">HCA Holdings Inc </t>
  </si>
  <si>
    <t>Company</t>
  </si>
  <si>
    <t>CEO</t>
  </si>
  <si>
    <t>But not over</t>
  </si>
  <si>
    <t>Wages over</t>
  </si>
  <si>
    <t>Base amount</t>
  </si>
  <si>
    <t>Percentage</t>
  </si>
  <si>
    <t>Bi-weekly wage:</t>
  </si>
  <si>
    <t>Allowance:</t>
  </si>
  <si>
    <t>Wage less allowance:</t>
  </si>
  <si>
    <t>Withholding allowances:</t>
  </si>
  <si>
    <t>Withholding amount:</t>
  </si>
  <si>
    <t>Single person</t>
  </si>
  <si>
    <t>Married person</t>
  </si>
  <si>
    <t>Married or Single:</t>
  </si>
  <si>
    <t>Single</t>
  </si>
  <si>
    <t>Region</t>
  </si>
  <si>
    <t>Regional Sales Report</t>
  </si>
  <si>
    <t>South</t>
  </si>
  <si>
    <t>North</t>
  </si>
  <si>
    <t>West</t>
  </si>
  <si>
    <t>Northeast</t>
  </si>
  <si>
    <t>Mid-Atlantic</t>
  </si>
  <si>
    <t>Canada</t>
  </si>
  <si>
    <t>Region:</t>
  </si>
  <si>
    <t>Year:</t>
  </si>
  <si>
    <t>Sales:</t>
  </si>
  <si>
    <t>Sale Amount</t>
  </si>
  <si>
    <t>Date</t>
  </si>
  <si>
    <t>Ticket #</t>
  </si>
  <si>
    <t>Aggregates</t>
  </si>
  <si>
    <t>Sum</t>
  </si>
  <si>
    <t>Count</t>
  </si>
  <si>
    <t>Average</t>
  </si>
  <si>
    <t>Select an aggregate:</t>
  </si>
  <si>
    <t>Employee information table</t>
  </si>
  <si>
    <t>Simplified paystub form</t>
  </si>
  <si>
    <t>Advanced Lookup Functions</t>
  </si>
  <si>
    <t>CHOOSE</t>
  </si>
  <si>
    <t>VLOOKUP/HLOOKUP</t>
  </si>
  <si>
    <t>INDEX</t>
  </si>
  <si>
    <t>MATCH</t>
  </si>
  <si>
    <t>Objective</t>
  </si>
  <si>
    <t>Method</t>
  </si>
  <si>
    <r>
      <rPr>
        <b/>
        <sz val="12"/>
        <color theme="1"/>
        <rFont val="Consolas"/>
        <family val="3"/>
      </rPr>
      <t>Payroll calculations</t>
    </r>
    <r>
      <rPr>
        <sz val="12"/>
        <color theme="1"/>
        <rFont val="Consolas"/>
        <family val="3"/>
      </rPr>
      <t xml:space="preserve">
Let's create a simplified paystub form
i) Fill the grey fields in the form with the right formulas</t>
    </r>
  </si>
  <si>
    <t xml:space="preserve">Use data from 'Employee information table', VLOOKUP function, and basic calculations
</t>
  </si>
  <si>
    <t>Use of MATCH and INDEX formulas combined</t>
  </si>
  <si>
    <t>Solution</t>
  </si>
  <si>
    <t>YUMA, AZ</t>
  </si>
  <si>
    <t>YAP, W CAROLINE IS., PC</t>
  </si>
  <si>
    <t>WINNEMUCCA, NV</t>
  </si>
  <si>
    <t>WILMINGTON, NC</t>
  </si>
  <si>
    <t>WILLISTON, ND</t>
  </si>
  <si>
    <t>WICHITA, KS</t>
  </si>
  <si>
    <t>WASHINGTON NAT'L AP, D.C.</t>
  </si>
  <si>
    <t>WAKE ISLAND, PC</t>
  </si>
  <si>
    <t>VALENTINE, NE</t>
  </si>
  <si>
    <t>TUPELO, MS</t>
  </si>
  <si>
    <t>TULSA, OK</t>
  </si>
  <si>
    <t>TUCSON, AZ</t>
  </si>
  <si>
    <t>TOPEKA, KS</t>
  </si>
  <si>
    <t>TOLEDO, OH</t>
  </si>
  <si>
    <t>TAMPA, FL</t>
  </si>
  <si>
    <t>SYRACUSE, NY</t>
  </si>
  <si>
    <t>ST. LOUIS, MO</t>
  </si>
  <si>
    <t>SPRINGFIELD, MO</t>
  </si>
  <si>
    <t>SPRINGFIELD, IL</t>
  </si>
  <si>
    <t>SPOKANE, WA</t>
  </si>
  <si>
    <t>SIOUX CITY, IA</t>
  </si>
  <si>
    <t>SHREVEPORT, LA</t>
  </si>
  <si>
    <t>SHERIDAN, WY</t>
  </si>
  <si>
    <t>SEATTLE SEA-TAC AP, WA</t>
  </si>
  <si>
    <t>SEATTLE C.O., WA</t>
  </si>
  <si>
    <t>SAVANNAH, GA</t>
  </si>
  <si>
    <t>SAULT STE. MARIE, MI</t>
  </si>
  <si>
    <t>SAN JUAN, PR</t>
  </si>
  <si>
    <t>SAN FRANCISCO C.O., CA</t>
  </si>
  <si>
    <t>SAN DIEGO, CA</t>
  </si>
  <si>
    <t>SAN ANTONIO, TX</t>
  </si>
  <si>
    <t>SALT LAKE CITY, UT</t>
  </si>
  <si>
    <t>SACRAMENTO, CA</t>
  </si>
  <si>
    <t>ROSWELL, NM</t>
  </si>
  <si>
    <t>ROCHESTER, NY</t>
  </si>
  <si>
    <t>RICHMOND, VA</t>
  </si>
  <si>
    <t>RENO, NV</t>
  </si>
  <si>
    <t>REDDING, CA</t>
  </si>
  <si>
    <t>RAPID CITY, SD</t>
  </si>
  <si>
    <t>RALEIGH, NC</t>
  </si>
  <si>
    <t>QUILLAYUTE, WA</t>
  </si>
  <si>
    <t>PUEBLO, CO</t>
  </si>
  <si>
    <t>PROVIDENCE, RI</t>
  </si>
  <si>
    <t>PORTLAND, OR</t>
  </si>
  <si>
    <t>PORTLAND, ME</t>
  </si>
  <si>
    <t>PORT ARTHUR, TX</t>
  </si>
  <si>
    <t>POHNPEI, CAROLINE IS., PC</t>
  </si>
  <si>
    <t>POCATELLO, ID</t>
  </si>
  <si>
    <t>PITTSBURGH, PA</t>
  </si>
  <si>
    <t>PHOENIX, AZ</t>
  </si>
  <si>
    <t>PHILADELPHIA, PA</t>
  </si>
  <si>
    <t>PEORIA, IL</t>
  </si>
  <si>
    <t>PENSACOLA, FL</t>
  </si>
  <si>
    <t>PAGO PAGO, AMER SAMOA, PC</t>
  </si>
  <si>
    <t>PADUCAH KY</t>
  </si>
  <si>
    <t>OMAHA (NORTH), NE</t>
  </si>
  <si>
    <t>OKLAHOMA CITY, OK</t>
  </si>
  <si>
    <t>NORTH PLATTE, NE</t>
  </si>
  <si>
    <t>NORTH LITTLE ROCK, AR</t>
  </si>
  <si>
    <t>NORFOLK, VA</t>
  </si>
  <si>
    <t>NOME, AK</t>
  </si>
  <si>
    <t>NEW YORK C.PARK, NY             1</t>
  </si>
  <si>
    <t>NEW ORLEANS, LA</t>
  </si>
  <si>
    <t>NASHVILLE, TN</t>
  </si>
  <si>
    <t>MT. WASHINGTON, NH</t>
  </si>
  <si>
    <t>MONTGOMERY, AL</t>
  </si>
  <si>
    <t>MOLINE, IL</t>
  </si>
  <si>
    <t>MISSOULA, MT</t>
  </si>
  <si>
    <t>MINNEAPOLIS-ST.PAUL, MN</t>
  </si>
  <si>
    <t>MILWAUKEE, WI</t>
  </si>
  <si>
    <t>MILFORD, UT</t>
  </si>
  <si>
    <t>MIDLAND-ODESSA, TX</t>
  </si>
  <si>
    <t>MIDDLETOWN/HARRISBURG INTL APT</t>
  </si>
  <si>
    <t>MIAMI, FL</t>
  </si>
  <si>
    <t>MEMPHIS, TN</t>
  </si>
  <si>
    <t>MARQUETTE, MI</t>
  </si>
  <si>
    <t>MAJURO, MARSHALL IS, PC</t>
  </si>
  <si>
    <t>MADISON, WI</t>
  </si>
  <si>
    <t>MACON, GA</t>
  </si>
  <si>
    <t>LYNCHBURG, VA</t>
  </si>
  <si>
    <t>LUBBOCK, TX</t>
  </si>
  <si>
    <t>LOUISVILLE, KY</t>
  </si>
  <si>
    <t>LOS ANGELES C.O., CA</t>
  </si>
  <si>
    <t>LITTLE ROCK, AR</t>
  </si>
  <si>
    <t>LINCOLN, NE</t>
  </si>
  <si>
    <t>LIHUE, HI</t>
  </si>
  <si>
    <t>LAS VEGAS, NV</t>
  </si>
  <si>
    <t>LANSING, MI</t>
  </si>
  <si>
    <t>LANDER, WY</t>
  </si>
  <si>
    <t>LAKE CHARLES, LA</t>
  </si>
  <si>
    <t>KOROR, PC</t>
  </si>
  <si>
    <t>KNOXVILLE, TN</t>
  </si>
  <si>
    <t>KEY WEST, FL</t>
  </si>
  <si>
    <t>KANSAS CITY, MO</t>
  </si>
  <si>
    <t>KAHULUI, HI</t>
  </si>
  <si>
    <t>JUNEAU, AK</t>
  </si>
  <si>
    <t>JOHNSTON ISLAND, PC</t>
  </si>
  <si>
    <t>JACKSONVILLE, FL</t>
  </si>
  <si>
    <t>JACKSON, MS</t>
  </si>
  <si>
    <t>INDIANAPOLIS, IN</t>
  </si>
  <si>
    <t>HURON, SD</t>
  </si>
  <si>
    <t>HOUSTON, TX</t>
  </si>
  <si>
    <t>HONOLULU,HI</t>
  </si>
  <si>
    <t>HILO, HI</t>
  </si>
  <si>
    <t>HELENA, MT</t>
  </si>
  <si>
    <t>HARTFORD, CT</t>
  </si>
  <si>
    <t>HARRISBURG, PA</t>
  </si>
  <si>
    <t>GUAM, PC</t>
  </si>
  <si>
    <t>GREENVILLE-SPARTANBURG AP, SC</t>
  </si>
  <si>
    <t>GREENSBORO-WNSTN-SALM-HGHPT,NC</t>
  </si>
  <si>
    <t>GREEN BAY, WI</t>
  </si>
  <si>
    <t>GREATER CINCINNATI AP</t>
  </si>
  <si>
    <t>GREAT FALLS, MT</t>
  </si>
  <si>
    <t>GRAND RAPIDS, MI</t>
  </si>
  <si>
    <t>GRAND JUNCTION, CO</t>
  </si>
  <si>
    <t>GALVESTON, TX</t>
  </si>
  <si>
    <t>FRESNO, CA</t>
  </si>
  <si>
    <t>FORT WAYNE, IN</t>
  </si>
  <si>
    <t>FORT SMITH, AR</t>
  </si>
  <si>
    <t>FLAGSTAFF, AZ</t>
  </si>
  <si>
    <t>FARGO, ND</t>
  </si>
  <si>
    <t>EVANSVILLE, IN</t>
  </si>
  <si>
    <t>EUREKA, CA.</t>
  </si>
  <si>
    <t>ELY, NV</t>
  </si>
  <si>
    <t>ELKINS, WV</t>
  </si>
  <si>
    <t>EL PASO, TX</t>
  </si>
  <si>
    <t>DULUTH, MN</t>
  </si>
  <si>
    <t>DODGE CITY, KS</t>
  </si>
  <si>
    <t>DETROIT, MI</t>
  </si>
  <si>
    <t>DES MOINES, IA</t>
  </si>
  <si>
    <t>DENVER, CO</t>
  </si>
  <si>
    <t>DAYTON, OH</t>
  </si>
  <si>
    <t>DALLAS-FORT WORTH, TX</t>
  </si>
  <si>
    <t>CORPUS CHRISTI, TX</t>
  </si>
  <si>
    <t>CONCORDIA, KS</t>
  </si>
  <si>
    <t>CONCORD, NH</t>
  </si>
  <si>
    <t>COLUMBUS, OH</t>
  </si>
  <si>
    <t>COLUMBIA, SC</t>
  </si>
  <si>
    <t>COLUMBIA, MO</t>
  </si>
  <si>
    <t>CLEVELAND, OH</t>
  </si>
  <si>
    <t>CHUUK, E. CAROLINE IS., PC</t>
  </si>
  <si>
    <t>CHICAGO,IL</t>
  </si>
  <si>
    <t>CHEYENNE, WY</t>
  </si>
  <si>
    <t>CHATTANOOGA, TN</t>
  </si>
  <si>
    <t>CHARLOTTE, NC</t>
  </si>
  <si>
    <t>CHARLESTON AP,SC</t>
  </si>
  <si>
    <t>CAPE HATTERAS, NC</t>
  </si>
  <si>
    <t>CAIRO,IL</t>
  </si>
  <si>
    <t>BURLINGTON, VT</t>
  </si>
  <si>
    <t>BUFFALO, NY</t>
  </si>
  <si>
    <t>BROWNSVILLE, TX</t>
  </si>
  <si>
    <t>BOSTON, MA</t>
  </si>
  <si>
    <t>BOISE, ID</t>
  </si>
  <si>
    <t>BLUE HILL, MA</t>
  </si>
  <si>
    <t>BISMARCK, ND</t>
  </si>
  <si>
    <t>BIRMINGHAM C.O.,AL</t>
  </si>
  <si>
    <t>BIRMINGHAM AP,AL</t>
  </si>
  <si>
    <t>BINGHAMTON, NY</t>
  </si>
  <si>
    <t>BILLINGS, MT</t>
  </si>
  <si>
    <t>BALTIMORE, MD</t>
  </si>
  <si>
    <t>AVOCA, PA</t>
  </si>
  <si>
    <t>AUSTIN/CITY, TX</t>
  </si>
  <si>
    <t>AUSTIN/BERGSTROM, TX</t>
  </si>
  <si>
    <t>ATLANTIC CITY AP, NJ</t>
  </si>
  <si>
    <t>ATLANTA, GA</t>
  </si>
  <si>
    <t>ASHEVILLE, NC</t>
  </si>
  <si>
    <t>APALACHICOLA, FL</t>
  </si>
  <si>
    <t>ANCHORAGE, AK</t>
  </si>
  <si>
    <t>AMARILLO, TX</t>
  </si>
  <si>
    <t>ALPENA, MI</t>
  </si>
  <si>
    <t>ALLENTOWN, PA</t>
  </si>
  <si>
    <t>ALBUQUERQUE, NM</t>
  </si>
  <si>
    <t>ALBANY, NY</t>
  </si>
  <si>
    <t>ABILENE, TX</t>
  </si>
  <si>
    <t>DEC</t>
  </si>
  <si>
    <t>NOV</t>
  </si>
  <si>
    <t>OCT</t>
  </si>
  <si>
    <t>SEP</t>
  </si>
  <si>
    <t>AUG</t>
  </si>
  <si>
    <t>JUL</t>
  </si>
  <si>
    <t>JUN</t>
  </si>
  <si>
    <t>MAY</t>
  </si>
  <si>
    <t>APR</t>
  </si>
  <si>
    <t>MAR</t>
  </si>
  <si>
    <t>FEB</t>
  </si>
  <si>
    <t>JAN</t>
  </si>
  <si>
    <t>174 CITIES</t>
  </si>
  <si>
    <t>DATA THROUGH 2001</t>
  </si>
  <si>
    <t>Sunshine- Average Percent (%)</t>
  </si>
  <si>
    <t>BARROW, AK</t>
  </si>
  <si>
    <t>ALAMOSA, CO</t>
  </si>
  <si>
    <t>COLORADO SPRINGS, CO</t>
  </si>
  <si>
    <t>CLAYTON, NM</t>
  </si>
  <si>
    <t>BIG DELTA,AK</t>
  </si>
  <si>
    <t>GLASGOW, MT</t>
  </si>
  <si>
    <t>UNALAKLEET, AK</t>
  </si>
  <si>
    <t>GOODLAND, KS</t>
  </si>
  <si>
    <t>GULKANA,AK</t>
  </si>
  <si>
    <t>WINSLOW, AZ</t>
  </si>
  <si>
    <t>HAVRE, MT</t>
  </si>
  <si>
    <t>ABERDEEN, SD</t>
  </si>
  <si>
    <t>SIOUX FALLS, SD</t>
  </si>
  <si>
    <t>SCOTTSBLUFF, NE</t>
  </si>
  <si>
    <t>GRAND ISLAND, NE</t>
  </si>
  <si>
    <t>KOTZEBUE, AK</t>
  </si>
  <si>
    <t>FAIRBANKS, AK</t>
  </si>
  <si>
    <t>NORFOLK, NE</t>
  </si>
  <si>
    <t>DEL RIO, TX</t>
  </si>
  <si>
    <t>CASPER, WY</t>
  </si>
  <si>
    <t>BETHEL, AK</t>
  </si>
  <si>
    <t>GRAND FORKS, ND</t>
  </si>
  <si>
    <t>SAINT CLOUD, MN</t>
  </si>
  <si>
    <t>OMAHA EPPLEY AP, NE</t>
  </si>
  <si>
    <t>SAN ANGELO, TX</t>
  </si>
  <si>
    <t>WATERLOO, IA</t>
  </si>
  <si>
    <t>INTERNATIONAL FALLS, MN</t>
  </si>
  <si>
    <t>BETTLES,AK</t>
  </si>
  <si>
    <t>BISHOP, CA</t>
  </si>
  <si>
    <t>ROCHESTER, MN</t>
  </si>
  <si>
    <t>KING SALMON, AK</t>
  </si>
  <si>
    <t>MCGRATH, AK</t>
  </si>
  <si>
    <t>WICHITA FALLS, TX</t>
  </si>
  <si>
    <t>LEWISTON, ID</t>
  </si>
  <si>
    <t>ELKO, NV</t>
  </si>
  <si>
    <t>YAKIMA, WA</t>
  </si>
  <si>
    <t>BURNS,OR</t>
  </si>
  <si>
    <t>BAKERSFIELD, CA</t>
  </si>
  <si>
    <t>LA CROSSE, WI</t>
  </si>
  <si>
    <t>DUBUQUE,IA</t>
  </si>
  <si>
    <t>ROCKFORD, IL</t>
  </si>
  <si>
    <t>TALKEETNA, AK</t>
  </si>
  <si>
    <t>PENDLETON, OR</t>
  </si>
  <si>
    <t>KALISPELL, MT</t>
  </si>
  <si>
    <t>FLINT, MI</t>
  </si>
  <si>
    <t>HOUGHTON LAKE, MI</t>
  </si>
  <si>
    <t>ST. PAUL ISLAND, AK</t>
  </si>
  <si>
    <t>DALLAS-LOVE FIELD, TX</t>
  </si>
  <si>
    <t>WACO, TX</t>
  </si>
  <si>
    <t>MUSKEGON, MI</t>
  </si>
  <si>
    <t>FORT MYERS, FL</t>
  </si>
  <si>
    <t>WALLA WALLA WASHINGTON</t>
  </si>
  <si>
    <t>SOUTH BEND, IN</t>
  </si>
  <si>
    <t>YOUNGSTOWN, OH</t>
  </si>
  <si>
    <t>ORLANDO, FL</t>
  </si>
  <si>
    <t>VICTORIA, TX</t>
  </si>
  <si>
    <t>MEDFORD, OR</t>
  </si>
  <si>
    <t>AKRON, OH</t>
  </si>
  <si>
    <t>ERIE, PA.</t>
  </si>
  <si>
    <t>HOMER, AK</t>
  </si>
  <si>
    <t>MANSFIELD, OH</t>
  </si>
  <si>
    <t>SANTA MARIA, CA</t>
  </si>
  <si>
    <t>STOCKTON, CA</t>
  </si>
  <si>
    <t>WILLIAMSPORT, PA</t>
  </si>
  <si>
    <t>VERO BEACH, FL</t>
  </si>
  <si>
    <t>LONG BEACH, CA</t>
  </si>
  <si>
    <t>CARIBOU, ME</t>
  </si>
  <si>
    <t>LOS ANGELES AP, CA</t>
  </si>
  <si>
    <t>WASHINGTON DULLES AP, D.C.</t>
  </si>
  <si>
    <t>COLD BAY,AK</t>
  </si>
  <si>
    <t>DAYTONA BEACH, FL</t>
  </si>
  <si>
    <t>HUNTINGTON, WV</t>
  </si>
  <si>
    <t>ROANOKE, VA</t>
  </si>
  <si>
    <t>BECKLEY, WV</t>
  </si>
  <si>
    <t>CHARLESTON, WV</t>
  </si>
  <si>
    <t>LEXINGTON, KY</t>
  </si>
  <si>
    <t>WILMINGTON, DE</t>
  </si>
  <si>
    <t>ATLANTIC CITY C.O.,NJ</t>
  </si>
  <si>
    <t>GAINESVILLE, FL</t>
  </si>
  <si>
    <t>BRISTOL-JHNSN CTY-KNGSPRT,TN</t>
  </si>
  <si>
    <t>NEW YORK (LAGUARDIA AP), NY</t>
  </si>
  <si>
    <t>JACKSON, KY</t>
  </si>
  <si>
    <t>SANTA BARBARA, CA</t>
  </si>
  <si>
    <t>NEW YORK (JFK AP), NY</t>
  </si>
  <si>
    <t>CHARLESTON C.O.,SC</t>
  </si>
  <si>
    <t>BLOCK IS.,RI</t>
  </si>
  <si>
    <t>BRIDGEPORT, CT</t>
  </si>
  <si>
    <t>WEST PALM BEACH, FL</t>
  </si>
  <si>
    <t>NEWARK, NJ</t>
  </si>
  <si>
    <t>WORCESTER, MA</t>
  </si>
  <si>
    <t>NEW YORK C.PARK, NY</t>
  </si>
  <si>
    <t>ISLIP, NY</t>
  </si>
  <si>
    <t>SAN FRANCISCO AP, CA</t>
  </si>
  <si>
    <t>AUGUSTA,GA</t>
  </si>
  <si>
    <t>ATHENS, GA</t>
  </si>
  <si>
    <t>SEXTON SUMMIT, OR</t>
  </si>
  <si>
    <t>COLUMBUS, GA</t>
  </si>
  <si>
    <t>KWAJALEIN, MARSHALL IS., PC</t>
  </si>
  <si>
    <t>OAK RIDGE,TN</t>
  </si>
  <si>
    <t>TALLAHASSEE, FL</t>
  </si>
  <si>
    <t>HUNTSVILLE, AL</t>
  </si>
  <si>
    <t>MOBILE, AL</t>
  </si>
  <si>
    <t>SALEM, OR</t>
  </si>
  <si>
    <t>MERIDIAN, MS</t>
  </si>
  <si>
    <t>VALDEZ, AK</t>
  </si>
  <si>
    <t>BATON ROUGE, LA</t>
  </si>
  <si>
    <t>MOUNT SHASTA, CA</t>
  </si>
  <si>
    <t>OLYMPIA, WA</t>
  </si>
  <si>
    <t>EUGENE, OR</t>
  </si>
  <si>
    <t>KODIAK, AK</t>
  </si>
  <si>
    <t>ASTORIA, OR</t>
  </si>
  <si>
    <t>ANNETTE, AK</t>
  </si>
  <si>
    <t>YAKUTAT, AK</t>
  </si>
  <si>
    <t>Month</t>
  </si>
  <si>
    <t>December</t>
  </si>
  <si>
    <t>November</t>
  </si>
  <si>
    <t>October</t>
  </si>
  <si>
    <t>September</t>
  </si>
  <si>
    <t>Augoust</t>
  </si>
  <si>
    <t>July</t>
  </si>
  <si>
    <t>June</t>
  </si>
  <si>
    <t>May</t>
  </si>
  <si>
    <t>April</t>
  </si>
  <si>
    <t>March</t>
  </si>
  <si>
    <t>February</t>
  </si>
  <si>
    <t>January</t>
  </si>
  <si>
    <t>Average Rain in 284 USA cities during 1971-2000 (inches)</t>
  </si>
  <si>
    <t>Rain</t>
  </si>
  <si>
    <t>Use of MATCH and INDEX formulas</t>
  </si>
  <si>
    <t>Show in 'Rain' cell the corresponding value for 'City' and 'Month'</t>
  </si>
  <si>
    <t>value at row2, col1</t>
  </si>
  <si>
    <t>Grapes</t>
  </si>
  <si>
    <t>value at row1, col4</t>
  </si>
  <si>
    <t>Pears</t>
  </si>
  <si>
    <t>value at row1, col3</t>
  </si>
  <si>
    <t>Bananas</t>
  </si>
  <si>
    <t>value at row1, col2</t>
  </si>
  <si>
    <t>Oranges</t>
  </si>
  <si>
    <t>value at row1, col1</t>
  </si>
  <si>
    <t>Apples</t>
  </si>
  <si>
    <t>INDEX Results</t>
  </si>
  <si>
    <t>Value</t>
  </si>
  <si>
    <t>Quantity</t>
  </si>
  <si>
    <t>Unit Price</t>
  </si>
  <si>
    <t>Product</t>
  </si>
  <si>
    <t>Order ID</t>
  </si>
  <si>
    <t>Use of INDEX formula</t>
  </si>
  <si>
    <t>Show in 'Index Results' column the corresponding value to the description in the 'Value' column</t>
  </si>
  <si>
    <t>MATCH Result</t>
  </si>
  <si>
    <t>Use of MATCH formula</t>
  </si>
  <si>
    <t>Show in 'Match Result' column the relative position on 'Value' according to 'Order ID' range</t>
  </si>
  <si>
    <t>Exercises</t>
  </si>
  <si>
    <t>Returns a value in a table based on the intersection of a row and column position within that table. The first row in the table is row 1 and the first column in the table is column 1</t>
  </si>
  <si>
    <t>INDEX( table, row_number, column_number )</t>
  </si>
  <si>
    <t>Sintax</t>
  </si>
  <si>
    <t>Searches for a value in an array and returns the relative position of that item</t>
  </si>
  <si>
    <t>MATCH( value, array, [match_type] )</t>
  </si>
  <si>
    <t>The search column must always be the first column (left)</t>
  </si>
  <si>
    <t>VLOOKUP Limitation</t>
  </si>
  <si>
    <t>MonthNumber</t>
  </si>
  <si>
    <t>MonthName</t>
  </si>
  <si>
    <t>August</t>
  </si>
  <si>
    <t>Find City and Store from State</t>
  </si>
  <si>
    <t>INDEX/MATCH:</t>
  </si>
  <si>
    <t>LOOKUP</t>
  </si>
  <si>
    <t>(Wrong results because lookup vector is not sorted)</t>
  </si>
  <si>
    <t xml:space="preserve">(Right results after sorting data according to lookup column) </t>
  </si>
  <si>
    <t>Show the appropiate value in'Your Temp' cell based on the value in cell 'Your City'.</t>
  </si>
  <si>
    <t>Use function HVOOKUP</t>
  </si>
  <si>
    <t>Method 1</t>
  </si>
  <si>
    <t>Method 2</t>
  </si>
  <si>
    <t>Repeat the exercise using:
   i) INDEX and MATCH functions
   ii) LOOKUP function</t>
  </si>
  <si>
    <t>LOOKUP(lookup_value; lookup_vector; [result_vector])</t>
  </si>
  <si>
    <t>Description</t>
  </si>
  <si>
    <t>LOOKUP vs VLOOKUP/HLOOKUP</t>
  </si>
  <si>
    <r>
      <t xml:space="preserve">The vector form of LOOKUP looks in a one-row or one-column range (known as a vector) for a value and returns a value from the same position in a second one-row or one-column range.
</t>
    </r>
    <r>
      <rPr>
        <b/>
        <sz val="12"/>
        <color theme="1"/>
        <rFont val="Consolas"/>
        <family val="3"/>
      </rPr>
      <t xml:space="preserve">lookup_value  </t>
    </r>
    <r>
      <rPr>
        <sz val="12"/>
        <color theme="1"/>
        <rFont val="Consolas"/>
        <family val="3"/>
      </rPr>
      <t xml:space="preserve">  Required. A value that </t>
    </r>
    <r>
      <rPr>
        <b/>
        <sz val="12"/>
        <color theme="1"/>
        <rFont val="Consolas"/>
        <family val="3"/>
      </rPr>
      <t xml:space="preserve">LOOKUP </t>
    </r>
    <r>
      <rPr>
        <sz val="12"/>
        <color theme="1"/>
        <rFont val="Consolas"/>
        <family val="3"/>
      </rPr>
      <t xml:space="preserve">searches for in the first vector. </t>
    </r>
    <r>
      <rPr>
        <b/>
        <sz val="12"/>
        <color theme="1"/>
        <rFont val="Consolas"/>
        <family val="3"/>
      </rPr>
      <t>Lookup_value</t>
    </r>
    <r>
      <rPr>
        <sz val="12"/>
        <color theme="1"/>
        <rFont val="Consolas"/>
        <family val="3"/>
      </rPr>
      <t xml:space="preserve"> can be a number, text, a logical value, or a name or reference that refers to a value.
</t>
    </r>
    <r>
      <rPr>
        <b/>
        <sz val="12"/>
        <color theme="1"/>
        <rFont val="Consolas"/>
        <family val="3"/>
      </rPr>
      <t>lookup_vector</t>
    </r>
    <r>
      <rPr>
        <sz val="12"/>
        <color theme="1"/>
        <rFont val="Consolas"/>
        <family val="3"/>
      </rPr>
      <t xml:space="preserve">    Required. A range that contains only one row or one column. The values in </t>
    </r>
    <r>
      <rPr>
        <b/>
        <sz val="12"/>
        <color theme="1"/>
        <rFont val="Consolas"/>
        <family val="3"/>
      </rPr>
      <t xml:space="preserve">lookup_vector </t>
    </r>
    <r>
      <rPr>
        <sz val="12"/>
        <color theme="1"/>
        <rFont val="Consolas"/>
        <family val="3"/>
      </rPr>
      <t>can be text, numbers, or logical values.</t>
    </r>
  </si>
  <si>
    <t>An example</t>
  </si>
  <si>
    <t>Repeat exercise 4 using LOOKUP</t>
  </si>
  <si>
    <r>
      <rPr>
        <b/>
        <sz val="12"/>
        <color theme="1"/>
        <rFont val="Consolas"/>
        <family val="3"/>
      </rPr>
      <t>Benefits of LOOKUP vs VLOOKUP/HLOOKUP:</t>
    </r>
    <r>
      <rPr>
        <sz val="12"/>
        <color theme="1"/>
        <rFont val="Consolas"/>
        <family val="3"/>
      </rPr>
      <t xml:space="preserve">
. Can search for data both vertically (columns) and horizontally (rows).
. Allows for left-to-right and right-to-left procedures (VLOOKUP is only left-to-right).
. Simpler to use and doesn’t require selecting the entire table.
. Can replace both VLOOKUP and HLOOKUP functions.
. Easier to audit with F2 than VLOOKUP or HLOOKUP.
</t>
    </r>
    <r>
      <rPr>
        <b/>
        <sz val="12"/>
        <color theme="1"/>
        <rFont val="Consolas"/>
        <family val="3"/>
      </rPr>
      <t xml:space="preserve">Limitations of LOOKUP vs VLOOKUP/HLOOKUP:
</t>
    </r>
    <r>
      <rPr>
        <sz val="12"/>
        <color theme="1"/>
        <rFont val="Consolas"/>
        <family val="3"/>
      </rPr>
      <t xml:space="preserve">. LOOKUP searching behaviour:
    . If the LOOKUP function can't find the </t>
    </r>
    <r>
      <rPr>
        <b/>
        <sz val="12"/>
        <color theme="1"/>
        <rFont val="Consolas"/>
        <family val="3"/>
      </rPr>
      <t>lookup_value</t>
    </r>
    <r>
      <rPr>
        <sz val="12"/>
        <color theme="1"/>
        <rFont val="Consolas"/>
        <family val="3"/>
      </rPr>
      <t xml:space="preserve">, the function matches the largest value in </t>
    </r>
    <r>
      <rPr>
        <b/>
        <sz val="12"/>
        <color theme="1"/>
        <rFont val="Consolas"/>
        <family val="3"/>
      </rPr>
      <t>lookup_vector</t>
    </r>
    <r>
      <rPr>
        <sz val="12"/>
        <color theme="1"/>
        <rFont val="Consolas"/>
        <family val="3"/>
      </rPr>
      <t xml:space="preserve"> that is less than or equal to lookup_value.
    . If</t>
    </r>
    <r>
      <rPr>
        <b/>
        <sz val="12"/>
        <color theme="1"/>
        <rFont val="Consolas"/>
        <family val="3"/>
      </rPr>
      <t xml:space="preserve"> lookup_value</t>
    </r>
    <r>
      <rPr>
        <sz val="12"/>
        <color theme="1"/>
        <rFont val="Consolas"/>
        <family val="3"/>
      </rPr>
      <t xml:space="preserve"> is smaller than the smallest value in </t>
    </r>
    <r>
      <rPr>
        <b/>
        <sz val="12"/>
        <color theme="1"/>
        <rFont val="Consolas"/>
        <family val="3"/>
      </rPr>
      <t>lookup_vector</t>
    </r>
    <r>
      <rPr>
        <sz val="12"/>
        <color theme="1"/>
        <rFont val="Consolas"/>
        <family val="3"/>
      </rPr>
      <t xml:space="preserve">, LOOKUP returns the #N/A error value.
. LOOKUP is not completely dynamic when changing output columns/rows.
. LOOKUP requires the </t>
    </r>
    <r>
      <rPr>
        <b/>
        <sz val="12"/>
        <color theme="1"/>
        <rFont val="Consolas"/>
        <family val="3"/>
      </rPr>
      <t>lookup column/row to be sorted in descendent order</t>
    </r>
    <r>
      <rPr>
        <sz val="12"/>
        <color theme="1"/>
        <rFont val="Consolas"/>
        <family val="3"/>
      </rPr>
      <t>.</t>
    </r>
  </si>
  <si>
    <t xml:space="preserve">Method </t>
  </si>
  <si>
    <t>Fill the column 'Salary' with the right values</t>
  </si>
  <si>
    <t xml:space="preserve">. Use function HLOOKUP and the 'Salary Table'.
. Use 'exact matching mode'
. Introduce IFERROR function to avoid '#N/A' error message.
</t>
  </si>
  <si>
    <t>Function Syntax</t>
  </si>
  <si>
    <t>IFERROR(value; value_if_error)</t>
  </si>
  <si>
    <t>Closest match</t>
  </si>
  <si>
    <r>
      <t xml:space="preserve">The VLOOKUP, HLOOKUP, and MATCH functions allow the data to be </t>
    </r>
    <r>
      <rPr>
        <b/>
        <sz val="11"/>
        <color theme="1"/>
        <rFont val="Consolas"/>
        <family val="3"/>
      </rPr>
      <t>sorted in any order.</t>
    </r>
    <r>
      <rPr>
        <sz val="11"/>
        <color theme="1"/>
        <rFont val="Consolas"/>
        <family val="3"/>
      </rPr>
      <t xml:space="preserve"> 
Each of them has a final argument that will force the function to find an exact match or return an error if it cannot.
These functions also work on sorted data for the times when you want only an approximate match.</t>
    </r>
  </si>
  <si>
    <t>Exercise</t>
  </si>
  <si>
    <r>
      <rPr>
        <b/>
        <sz val="12"/>
        <color theme="1"/>
        <rFont val="Consolas"/>
        <family val="3"/>
      </rPr>
      <t xml:space="preserve">Calculating income tax withholding
</t>
    </r>
    <r>
      <rPr>
        <sz val="12"/>
        <color theme="1"/>
        <rFont val="Consolas"/>
        <family val="3"/>
      </rPr>
      <t xml:space="preserve">Determine into which band the employee’s pay falls, and then you use the information on that row to compute the withholding in cell 'Withholding amount'.
</t>
    </r>
    <r>
      <rPr>
        <i/>
        <sz val="12"/>
        <color theme="1"/>
        <rFont val="Consolas"/>
        <family val="3"/>
      </rPr>
      <t xml:space="preserve">'Base amount'+('Wage less allowance'-'Wages over')*'Percentage'
</t>
    </r>
    <r>
      <rPr>
        <sz val="12"/>
        <color theme="1"/>
        <rFont val="Consolas"/>
        <family val="3"/>
      </rPr>
      <t xml:space="preserve">
</t>
    </r>
  </si>
  <si>
    <r>
      <t xml:space="preserve">Use IFERROR function to trap and handle errors in a formula. IFERROR returns a value you specify if a formula evaluates to an error; otherwise, it returns the result of the formula.
. </t>
    </r>
    <r>
      <rPr>
        <b/>
        <sz val="12"/>
        <color theme="1"/>
        <rFont val="Consolas"/>
        <family val="3"/>
      </rPr>
      <t>value</t>
    </r>
    <r>
      <rPr>
        <sz val="12"/>
        <color theme="1"/>
        <rFont val="Consolas"/>
        <family val="3"/>
      </rPr>
      <t xml:space="preserve">    Required. The argument that is checked for an error.
. </t>
    </r>
    <r>
      <rPr>
        <b/>
        <sz val="12"/>
        <color theme="1"/>
        <rFont val="Consolas"/>
        <family val="3"/>
      </rPr>
      <t xml:space="preserve">value_if_error </t>
    </r>
    <r>
      <rPr>
        <sz val="12"/>
        <color theme="1"/>
        <rFont val="Consolas"/>
        <family val="3"/>
      </rPr>
      <t xml:space="preserve">   Required. The value to return if the formula evaluates to an error. The following error types are evaluated: #N/A, #VALUE!, #REF!, #DIV/0!, #NUM!, #NAME?, or #NULL!.</t>
    </r>
  </si>
  <si>
    <r>
      <t xml:space="preserve">Use </t>
    </r>
    <r>
      <rPr>
        <b/>
        <sz val="11"/>
        <color theme="1"/>
        <rFont val="Consolas"/>
        <family val="3"/>
      </rPr>
      <t>VLOOKUP</t>
    </r>
    <r>
      <rPr>
        <sz val="11"/>
        <color theme="1"/>
        <rFont val="Consolas"/>
        <family val="3"/>
      </rPr>
      <t xml:space="preserve"> to calculate the 'Base amount' closest but bellow the wage (withholding amount), using as </t>
    </r>
    <r>
      <rPr>
        <b/>
        <sz val="11"/>
        <color theme="1"/>
        <rFont val="Consolas"/>
        <family val="3"/>
      </rPr>
      <t>final argument TRUE</t>
    </r>
    <r>
      <rPr>
        <sz val="11"/>
        <color theme="1"/>
        <rFont val="Consolas"/>
        <family val="3"/>
      </rPr>
      <t xml:space="preserve">, indicating that we want only an approximate match.
</t>
    </r>
    <r>
      <rPr>
        <b/>
        <sz val="11"/>
        <color theme="9"/>
        <rFont val="Consolas"/>
        <family val="3"/>
      </rPr>
      <t>IMPORTANT.</t>
    </r>
    <r>
      <rPr>
        <sz val="11"/>
        <color theme="9"/>
        <rFont val="Consolas"/>
        <family val="3"/>
      </rPr>
      <t xml:space="preserve"> To get a correct result when using a final argument of TRUE, the data in the lookup column must be sorted lowest to highest.</t>
    </r>
    <r>
      <rPr>
        <sz val="11"/>
        <color theme="1"/>
        <rFont val="Consolas"/>
        <family val="3"/>
      </rPr>
      <t xml:space="preserve">
VLOOKUP looks down the first column and stops when the next value is higher than the lookup value. In that way, it finds the </t>
    </r>
    <r>
      <rPr>
        <b/>
        <sz val="11"/>
        <color theme="1"/>
        <rFont val="Consolas"/>
        <family val="3"/>
      </rPr>
      <t>largest value that is not larger than the lookup value</t>
    </r>
    <r>
      <rPr>
        <sz val="11"/>
        <color theme="1"/>
        <rFont val="Consolas"/>
        <family val="3"/>
      </rPr>
      <t>.</t>
    </r>
  </si>
  <si>
    <r>
      <t>Withholding amount (</t>
    </r>
    <r>
      <rPr>
        <sz val="11"/>
        <color theme="9"/>
        <rFont val="Calibri"/>
        <family val="2"/>
        <scheme val="minor"/>
      </rPr>
      <t>VLOOKUP</t>
    </r>
    <r>
      <rPr>
        <sz val="11"/>
        <color theme="1"/>
        <rFont val="Calibri"/>
        <family val="2"/>
        <scheme val="minor"/>
      </rPr>
      <t>):</t>
    </r>
  </si>
  <si>
    <r>
      <t>Withholding amount (</t>
    </r>
    <r>
      <rPr>
        <sz val="11"/>
        <color theme="9"/>
        <rFont val="Calibri"/>
        <family val="2"/>
        <scheme val="minor"/>
      </rPr>
      <t>INDEX and MATCH</t>
    </r>
    <r>
      <rPr>
        <sz val="11"/>
        <color theme="1"/>
        <rFont val="Calibri"/>
        <family val="2"/>
        <scheme val="minor"/>
      </rPr>
      <t>):</t>
    </r>
  </si>
  <si>
    <r>
      <rPr>
        <b/>
        <sz val="12"/>
        <color theme="1"/>
        <rFont val="Consolas"/>
        <family val="3"/>
      </rPr>
      <t xml:space="preserve">Calculating income tax withholding
</t>
    </r>
    <r>
      <rPr>
        <sz val="12"/>
        <color theme="1"/>
        <rFont val="Consolas"/>
        <family val="3"/>
      </rPr>
      <t xml:space="preserve">Repeat the exercise using data sorted hightest to lowest.
</t>
    </r>
  </si>
  <si>
    <t>i) Use VLOOKUP function in cell 'Withholding amount (VLOOKUP)'. Is the result correct?
ii) Use MATCH and INDEX in cell Withholding amount (INDEX and MATCH).</t>
  </si>
  <si>
    <t>City (INDEX/MATCH):</t>
  </si>
  <si>
    <t>Store (INDEX/MATCH):</t>
  </si>
  <si>
    <t>Use INDEX/MATCH to obtain City and Store from State</t>
  </si>
  <si>
    <t>INDIRECT(ref_text, [a1])</t>
  </si>
  <si>
    <r>
      <t xml:space="preserve">Returns the reference specified by a text string. References are immediately evaluated to display their contents. Use INDIRECT when you want to change the reference to a cell within a formula without changing the formula itself.
</t>
    </r>
    <r>
      <rPr>
        <sz val="10"/>
        <color theme="1"/>
        <rFont val="Consolas"/>
        <family val="3"/>
      </rPr>
      <t xml:space="preserve">
</t>
    </r>
    <r>
      <rPr>
        <b/>
        <sz val="10"/>
        <color theme="1"/>
        <rFont val="Consolas"/>
        <family val="3"/>
      </rPr>
      <t xml:space="preserve">Ref_text   </t>
    </r>
    <r>
      <rPr>
        <sz val="10"/>
        <color theme="1"/>
        <rFont val="Consolas"/>
        <family val="3"/>
      </rPr>
      <t xml:space="preserve"> Required. A reference to a cell that contains an A1-style reference, an R1C1-style reference, a name defined as a reference, or a reference to a cell as a text string. If ref_text is not a valid cell reference, INDIRECT returns the #REF! error value.
     . If ref_text refers to another workbook (an external reference), the other workbook must be open. If the source workbook is not open, INDIRECT returns the #REF! error value.
    </t>
    </r>
    <r>
      <rPr>
        <b/>
        <sz val="10"/>
        <color theme="1"/>
        <rFont val="Consolas"/>
        <family val="3"/>
      </rPr>
      <t xml:space="preserve">  Note</t>
    </r>
    <r>
      <rPr>
        <sz val="10"/>
        <color theme="1"/>
        <rFont val="Consolas"/>
        <family val="3"/>
      </rPr>
      <t xml:space="preserve">    External references are not supported in Excel Web App.
     . If ref_text refers to a cell range outside the row limit of 1,048,576 or the column limit of 16,384 (XFD), INDIRECT returns a #REF! error.
</t>
    </r>
    <r>
      <rPr>
        <b/>
        <sz val="10"/>
        <color theme="1"/>
        <rFont val="Consolas"/>
        <family val="3"/>
      </rPr>
      <t xml:space="preserve">      Note  </t>
    </r>
    <r>
      <rPr>
        <sz val="10"/>
        <color theme="1"/>
        <rFont val="Consolas"/>
        <family val="3"/>
      </rPr>
      <t xml:space="preserve">  This behavior is different from Excel versions earlier than Microsoft    Office Excel 2007, which ignore the exceeded limit and return a value.
</t>
    </r>
    <r>
      <rPr>
        <b/>
        <sz val="10"/>
        <color theme="1"/>
        <rFont val="Consolas"/>
        <family val="3"/>
      </rPr>
      <t xml:space="preserve">A1    </t>
    </r>
    <r>
      <rPr>
        <sz val="10"/>
        <color theme="1"/>
        <rFont val="Consolas"/>
        <family val="3"/>
      </rPr>
      <t>Optional. A logical value that specifies what type of reference is contained in the cell ref_text.
      . If a1 is TRUE or omitted, ref_text is interpreted as an A1-style reference.
      . If a1 is FALSE, ref_text is interpreted as an R1C1-style reference.</t>
    </r>
  </si>
  <si>
    <r>
      <rPr>
        <b/>
        <sz val="12"/>
        <color theme="1"/>
        <rFont val="Consolas"/>
        <family val="3"/>
      </rPr>
      <t xml:space="preserve">Calculating income tax withholding with data from multiple tables
</t>
    </r>
    <r>
      <rPr>
        <sz val="12"/>
        <color theme="1"/>
        <rFont val="Consolas"/>
        <family val="3"/>
      </rPr>
      <t xml:space="preserve">Repeat the exercise but now the user can select whether the employee is single or married. 
Depending on the single/married selection, data must looked up in the corresponding table.
</t>
    </r>
  </si>
  <si>
    <t>i) Assign names ('Single', 'Married') to the data ranges corresponding to each single-married condition.
ii) Use INDIRECT function to obtain the right formula for 'Withholding amount' depending on the 'Married or Single' selection.</t>
  </si>
  <si>
    <r>
      <rPr>
        <b/>
        <sz val="12"/>
        <color theme="1"/>
        <rFont val="Consolas"/>
        <family val="3"/>
      </rPr>
      <t xml:space="preserve">Looking up a value based on a two-way matrix
</t>
    </r>
    <r>
      <rPr>
        <sz val="12"/>
        <color theme="1"/>
        <rFont val="Consolas"/>
        <family val="3"/>
      </rPr>
      <t xml:space="preserve">The table bellow shows sales figures by region and year. Each row represents a region, and each column represents a year. We want the user to select a region and a year and return the sales figure at the intersection of that row and column.
</t>
    </r>
  </si>
  <si>
    <t>Use MATCH and INDEX functions to get the 'Sales' value.</t>
  </si>
  <si>
    <t>SUBTOTAL function description</t>
  </si>
  <si>
    <t>i) Use CHOOSE, MATCH, SUM, COUNT and AVERAGE functions to calculate the selected aggregate operation.
ii) Use SUBTOTAL, CHOOSE and MATCH functions to get to the same result.</t>
  </si>
  <si>
    <r>
      <rPr>
        <b/>
        <sz val="12"/>
        <color theme="1"/>
        <rFont val="Consolas"/>
        <family val="3"/>
      </rPr>
      <t>Select and action</t>
    </r>
    <r>
      <rPr>
        <sz val="12"/>
        <color theme="1"/>
        <rFont val="Consolas"/>
        <family val="3"/>
      </rPr>
      <t xml:space="preserve">
. Write a formula in cell G19 to calculate the operation selected in cell G17.
. Cell F19 must show: 'The [name of the operation] is:'</t>
    </r>
    <r>
      <rPr>
        <i/>
        <sz val="12"/>
        <color theme="1"/>
        <rFont val="Consolas"/>
        <family val="3"/>
      </rPr>
      <t xml:space="preserve">
</t>
    </r>
    <r>
      <rPr>
        <sz val="12"/>
        <color theme="1"/>
        <rFont val="Consolas"/>
        <family val="3"/>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</si>
</sst>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_(* #,##0_);_(* \(#,##0\);_(* &quot;-&quot;_);_(@_)"/>
    <numFmt numFmtId="165" formatCode="_(&quot;$&quot;* #,##0.00_);_(&quot;$&quot;* \(#,##0.00\);_(&quot;$&quot;* &quot;-&quot;??_);_(@_)"/>
    <numFmt numFmtId="166" formatCode="_(* #,##0.00_);_(* \(#,##0.00\);_(* &quot;-&quot;??_);_(@_)"/>
    <numFmt numFmtId="167" formatCode="_(* #,##0_);_(* \(#,##0\);_(* &quot;-&quot;??_);_(@_)"/>
    <numFmt numFmtId="168" formatCode="0.0%"/>
  </numFmts>
  <fonts count="48" x14ac:knownFonts="1">
    <font>
      <sz val="11"/>
      <color theme="1"/>
      <name val="Calibri"/>
      <family val="2"/>
      <scheme val="minor"/>
    </font>
    <font>
      <sz val="11"/>
      <color theme="1"/>
      <name val="Calibri"/>
      <family val="2"/>
      <scheme val="minor"/>
    </font>
    <font>
      <b/>
      <sz val="11"/>
      <color theme="1"/>
      <name val="Calibri"/>
      <family val="2"/>
      <scheme val="minor"/>
    </font>
    <font>
      <sz val="11"/>
      <color rgb="FF3F3F76"/>
      <name val="Calibri"/>
      <family val="2"/>
      <scheme val="minor"/>
    </font>
    <font>
      <b/>
      <sz val="11"/>
      <color rgb="FF3F3F3F"/>
      <name val="Calibri"/>
      <family val="2"/>
      <scheme val="minor"/>
    </font>
    <font>
      <b/>
      <u/>
      <sz val="11"/>
      <color theme="1"/>
      <name val="Calibri"/>
      <family val="2"/>
      <scheme val="minor"/>
    </font>
    <font>
      <sz val="11"/>
      <color theme="0"/>
      <name val="Calibri"/>
      <family val="2"/>
      <scheme val="minor"/>
    </font>
    <font>
      <b/>
      <sz val="11"/>
      <color theme="9"/>
      <name val="Calibri"/>
      <family val="2"/>
      <scheme val="minor"/>
    </font>
    <font>
      <b/>
      <sz val="20"/>
      <color theme="0" tint="-0.499984740745262"/>
      <name val="Calibri"/>
      <family val="2"/>
      <scheme val="minor"/>
    </font>
    <font>
      <b/>
      <sz val="16"/>
      <color theme="5"/>
      <name val="Calibri"/>
      <family val="2"/>
      <scheme val="minor"/>
    </font>
    <font>
      <sz val="16"/>
      <color theme="1"/>
      <name val="Calibri"/>
      <family val="2"/>
      <scheme val="minor"/>
    </font>
    <font>
      <b/>
      <sz val="14"/>
      <color theme="0" tint="-4.9989318521683403E-2"/>
      <name val="Calibri"/>
      <family val="2"/>
      <scheme val="minor"/>
    </font>
    <font>
      <sz val="12"/>
      <color theme="1"/>
      <name val="Consolas"/>
      <family val="3"/>
    </font>
    <font>
      <sz val="14"/>
      <color theme="1"/>
      <name val="Calibri"/>
      <family val="2"/>
      <scheme val="minor"/>
    </font>
    <font>
      <b/>
      <sz val="12"/>
      <color theme="1"/>
      <name val="Consolas"/>
      <family val="3"/>
    </font>
    <font>
      <b/>
      <sz val="18"/>
      <color theme="0"/>
      <name val="Calibri"/>
      <family val="2"/>
      <scheme val="minor"/>
    </font>
    <font>
      <sz val="10"/>
      <name val="Arial"/>
      <family val="2"/>
    </font>
    <font>
      <b/>
      <sz val="10"/>
      <name val="Arial"/>
      <family val="2"/>
    </font>
    <font>
      <b/>
      <sz val="14"/>
      <color theme="8"/>
      <name val="Calibri"/>
      <family val="2"/>
      <scheme val="minor"/>
    </font>
    <font>
      <sz val="14"/>
      <color theme="8"/>
      <name val="Calibri"/>
      <family val="2"/>
      <scheme val="minor"/>
    </font>
    <font>
      <sz val="10"/>
      <color theme="0"/>
      <name val="Arial"/>
      <family val="2"/>
    </font>
    <font>
      <sz val="10"/>
      <color theme="8"/>
      <name val="Arial"/>
      <family val="2"/>
    </font>
    <font>
      <b/>
      <sz val="14"/>
      <color theme="0"/>
      <name val="Calibri"/>
      <family val="2"/>
      <scheme val="minor"/>
    </font>
    <font>
      <sz val="14"/>
      <color theme="5"/>
      <name val="Arial"/>
      <family val="2"/>
    </font>
    <font>
      <b/>
      <sz val="20"/>
      <color theme="5"/>
      <name val="Calibri"/>
      <family val="2"/>
      <scheme val="minor"/>
    </font>
    <font>
      <b/>
      <sz val="22"/>
      <color theme="5"/>
      <name val="Calibri"/>
      <family val="2"/>
      <scheme val="minor"/>
    </font>
    <font>
      <sz val="12"/>
      <name val="Arial"/>
      <family val="2"/>
    </font>
    <font>
      <b/>
      <sz val="20"/>
      <color theme="4"/>
      <name val="Calibri"/>
      <family val="2"/>
      <scheme val="minor"/>
    </font>
    <font>
      <sz val="11"/>
      <color theme="1"/>
      <name val="Arial"/>
      <family val="2"/>
    </font>
    <font>
      <b/>
      <sz val="11"/>
      <color rgb="FF3F3F3F"/>
      <name val="Arial"/>
      <family val="2"/>
    </font>
    <font>
      <b/>
      <sz val="12"/>
      <color theme="1"/>
      <name val="Arial"/>
      <family val="2"/>
    </font>
    <font>
      <sz val="12"/>
      <color theme="1"/>
      <name val="Arial"/>
      <family val="2"/>
    </font>
    <font>
      <i/>
      <sz val="11"/>
      <color theme="1"/>
      <name val="Calibri"/>
      <family val="2"/>
      <scheme val="minor"/>
    </font>
    <font>
      <sz val="11"/>
      <color theme="9"/>
      <name val="Calibri"/>
      <family val="2"/>
      <scheme val="minor"/>
    </font>
    <font>
      <i/>
      <sz val="10"/>
      <color theme="9"/>
      <name val="Arial"/>
      <family val="2"/>
    </font>
    <font>
      <b/>
      <sz val="10"/>
      <color theme="9"/>
      <name val="Arial"/>
      <family val="2"/>
    </font>
    <font>
      <b/>
      <sz val="14"/>
      <color theme="9"/>
      <name val="Calibri"/>
      <family val="2"/>
      <scheme val="minor"/>
    </font>
    <font>
      <sz val="16"/>
      <color theme="1"/>
      <name val="Consolas"/>
      <family val="3"/>
    </font>
    <font>
      <sz val="11"/>
      <color theme="1"/>
      <name val="Consolas"/>
      <family val="3"/>
    </font>
    <font>
      <b/>
      <sz val="11"/>
      <color theme="1"/>
      <name val="Consolas"/>
      <family val="3"/>
    </font>
    <font>
      <i/>
      <sz val="12"/>
      <color theme="1"/>
      <name val="Consolas"/>
      <family val="3"/>
    </font>
    <font>
      <u/>
      <sz val="11"/>
      <color theme="10"/>
      <name val="Calibri"/>
      <family val="2"/>
      <scheme val="minor"/>
    </font>
    <font>
      <sz val="18"/>
      <color theme="5"/>
      <name val="Arial"/>
      <family val="2"/>
    </font>
    <font>
      <b/>
      <sz val="11"/>
      <color theme="9"/>
      <name val="Consolas"/>
      <family val="3"/>
    </font>
    <font>
      <sz val="11"/>
      <color theme="9"/>
      <name val="Consolas"/>
      <family val="3"/>
    </font>
    <font>
      <b/>
      <i/>
      <u/>
      <sz val="11"/>
      <color theme="9"/>
      <name val="Calibri"/>
      <family val="2"/>
      <scheme val="minor"/>
    </font>
    <font>
      <sz val="10"/>
      <color theme="1"/>
      <name val="Consolas"/>
      <family val="3"/>
    </font>
    <font>
      <b/>
      <sz val="10"/>
      <color theme="1"/>
      <name val="Consolas"/>
      <family val="3"/>
    </font>
  </fonts>
  <fills count="9">
    <fill>
      <patternFill patternType="none"/>
    </fill>
    <fill>
      <patternFill patternType="gray125"/>
    </fill>
    <fill>
      <patternFill patternType="solid">
        <fgColor theme="0"/>
        <bgColor indexed="64"/>
      </patternFill>
    </fill>
    <fill>
      <patternFill patternType="solid">
        <fgColor rgb="FFFFCC99"/>
      </patternFill>
    </fill>
    <fill>
      <patternFill patternType="solid">
        <fgColor rgb="FFF2F2F2"/>
      </patternFill>
    </fill>
    <fill>
      <patternFill patternType="solid">
        <fgColor theme="4"/>
        <bgColor indexed="64"/>
      </patternFill>
    </fill>
    <fill>
      <patternFill patternType="solid">
        <fgColor theme="0" tint="-4.9989318521683403E-2"/>
        <bgColor indexed="64"/>
      </patternFill>
    </fill>
    <fill>
      <patternFill patternType="solid">
        <fgColor theme="9"/>
        <bgColor indexed="64"/>
      </patternFill>
    </fill>
    <fill>
      <patternFill patternType="solid">
        <fgColor rgb="FF0070C0"/>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indexed="64"/>
      </top>
      <bottom style="double">
        <color indexed="64"/>
      </bottom>
      <diagonal/>
    </border>
    <border>
      <left style="thin">
        <color theme="9"/>
      </left>
      <right style="thin">
        <color theme="9"/>
      </right>
      <top style="thin">
        <color theme="9"/>
      </top>
      <bottom style="thin">
        <color theme="9"/>
      </bottom>
      <diagonal/>
    </border>
    <border>
      <left style="medium">
        <color theme="9"/>
      </left>
      <right style="medium">
        <color theme="9"/>
      </right>
      <top style="medium">
        <color theme="9"/>
      </top>
      <bottom style="medium">
        <color theme="9"/>
      </bottom>
      <diagonal/>
    </border>
    <border>
      <left style="thin">
        <color rgb="FF0070C0"/>
      </left>
      <right style="thin">
        <color rgb="FF0070C0"/>
      </right>
      <top style="thin">
        <color rgb="FF0070C0"/>
      </top>
      <bottom style="thin">
        <color rgb="FF0070C0"/>
      </bottom>
      <diagonal/>
    </border>
    <border>
      <left style="thin">
        <color rgb="FF7F7F7F"/>
      </left>
      <right style="thin">
        <color rgb="FF7F7F7F"/>
      </right>
      <top style="thin">
        <color rgb="FF7F7F7F"/>
      </top>
      <bottom/>
      <diagonal/>
    </border>
  </borders>
  <cellStyleXfs count="7">
    <xf numFmtId="0" fontId="0" fillId="0" borderId="0"/>
    <xf numFmtId="166" fontId="1" fillId="0" borderId="0" applyFont="0" applyFill="0" applyBorder="0" applyAlignment="0" applyProtection="0"/>
    <xf numFmtId="165" fontId="1" fillId="0" borderId="0" applyFont="0" applyFill="0" applyBorder="0" applyAlignment="0" applyProtection="0"/>
    <xf numFmtId="0" fontId="3" fillId="3" borderId="12" applyNumberFormat="0" applyAlignment="0" applyProtection="0"/>
    <xf numFmtId="0" fontId="4" fillId="4" borderId="13" applyNumberFormat="0" applyAlignment="0" applyProtection="0"/>
    <xf numFmtId="0" fontId="16" fillId="0" borderId="0"/>
    <xf numFmtId="0" fontId="41" fillId="0" borderId="0" applyNumberFormat="0" applyFill="0" applyBorder="0" applyAlignment="0" applyProtection="0"/>
  </cellStyleXfs>
  <cellXfs count="110">
    <xf numFmtId="0" fontId="0" fillId="0" borderId="0" xfId="0"/>
    <xf numFmtId="166" fontId="0" fillId="0" borderId="0" xfId="1" applyFont="1"/>
    <xf numFmtId="0" fontId="2" fillId="0" borderId="1" xfId="0" applyFont="1" applyBorder="1" applyAlignment="1">
      <alignment horizontal="center"/>
    </xf>
    <xf numFmtId="166" fontId="0" fillId="0" borderId="0" xfId="0" applyNumberFormat="1"/>
    <xf numFmtId="9" fontId="0" fillId="0" borderId="0" xfId="1" applyNumberFormat="1" applyFont="1"/>
    <xf numFmtId="0" fontId="2" fillId="2" borderId="3" xfId="0" applyFont="1" applyFill="1" applyBorder="1" applyAlignment="1">
      <alignment horizontal="center"/>
    </xf>
    <xf numFmtId="0" fontId="0" fillId="2" borderId="4" xfId="0" applyFill="1" applyBorder="1" applyAlignment="1">
      <alignment horizontal="center"/>
    </xf>
    <xf numFmtId="0" fontId="2" fillId="2" borderId="3" xfId="0" applyFont="1" applyFill="1" applyBorder="1"/>
    <xf numFmtId="0" fontId="0" fillId="2" borderId="5" xfId="0" applyFill="1" applyBorder="1"/>
    <xf numFmtId="0" fontId="0" fillId="2" borderId="6" xfId="0" applyFill="1" applyBorder="1"/>
    <xf numFmtId="0" fontId="0" fillId="2" borderId="7" xfId="0" applyFill="1" applyBorder="1"/>
    <xf numFmtId="0" fontId="0" fillId="2" borderId="4" xfId="0" applyFill="1" applyBorder="1"/>
    <xf numFmtId="166" fontId="0" fillId="2" borderId="8" xfId="0" applyNumberFormat="1" applyFill="1" applyBorder="1"/>
    <xf numFmtId="0" fontId="0" fillId="2" borderId="1" xfId="0" applyFill="1" applyBorder="1"/>
    <xf numFmtId="0" fontId="0" fillId="2" borderId="9" xfId="0" applyFill="1" applyBorder="1"/>
    <xf numFmtId="0" fontId="0" fillId="2" borderId="3" xfId="0" applyFill="1" applyBorder="1"/>
    <xf numFmtId="0" fontId="2" fillId="2" borderId="2" xfId="0" applyFont="1" applyFill="1" applyBorder="1"/>
    <xf numFmtId="0" fontId="2" fillId="2" borderId="10" xfId="0" applyFont="1" applyFill="1" applyBorder="1"/>
    <xf numFmtId="0" fontId="0" fillId="2" borderId="2" xfId="0" applyFill="1" applyBorder="1"/>
    <xf numFmtId="0" fontId="0" fillId="2" borderId="11" xfId="0" applyFill="1" applyBorder="1"/>
    <xf numFmtId="166" fontId="0" fillId="2" borderId="4" xfId="1" applyFont="1" applyFill="1" applyBorder="1"/>
    <xf numFmtId="167" fontId="0" fillId="0" borderId="0" xfId="1" applyNumberFormat="1" applyFont="1"/>
    <xf numFmtId="0" fontId="0" fillId="0" borderId="0" xfId="0" applyAlignment="1">
      <alignment horizontal="right" indent="1"/>
    </xf>
    <xf numFmtId="0" fontId="2" fillId="0" borderId="0" xfId="0" applyFont="1"/>
    <xf numFmtId="0" fontId="2" fillId="0" borderId="0" xfId="0" applyFont="1" applyAlignment="1">
      <alignment horizontal="right" indent="1"/>
    </xf>
    <xf numFmtId="0" fontId="0" fillId="0" borderId="0" xfId="0" applyAlignment="1">
      <alignment horizontal="center"/>
    </xf>
    <xf numFmtId="164" fontId="0" fillId="0" borderId="0" xfId="0" applyNumberFormat="1"/>
    <xf numFmtId="168" fontId="0" fillId="0" borderId="0" xfId="0" applyNumberFormat="1"/>
    <xf numFmtId="0" fontId="5" fillId="0" borderId="0" xfId="0" applyFont="1"/>
    <xf numFmtId="0" fontId="3" fillId="3" borderId="12" xfId="3" applyAlignment="1">
      <alignment horizontal="center"/>
    </xf>
    <xf numFmtId="164" fontId="0" fillId="0" borderId="14" xfId="0" applyNumberFormat="1" applyBorder="1"/>
    <xf numFmtId="0" fontId="3" fillId="3" borderId="12" xfId="3"/>
    <xf numFmtId="14" fontId="0" fillId="0" borderId="0" xfId="0" applyNumberFormat="1"/>
    <xf numFmtId="166" fontId="4" fillId="4" borderId="13" xfId="4" applyNumberFormat="1"/>
    <xf numFmtId="0" fontId="7" fillId="0" borderId="0" xfId="0" applyFont="1"/>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11" fillId="5" borderId="0" xfId="0" applyFont="1" applyFill="1"/>
    <xf numFmtId="0" fontId="12" fillId="0" borderId="0" xfId="0" applyFont="1"/>
    <xf numFmtId="0" fontId="13" fillId="0" borderId="0" xfId="0" applyFont="1"/>
    <xf numFmtId="0" fontId="11" fillId="5" borderId="0" xfId="0" applyFont="1" applyFill="1" applyAlignment="1">
      <alignment horizontal="left" vertical="top"/>
    </xf>
    <xf numFmtId="0" fontId="12" fillId="0" borderId="0" xfId="0" applyFont="1" applyAlignment="1">
      <alignment horizontal="left" vertical="top" wrapText="1"/>
    </xf>
    <xf numFmtId="0" fontId="12" fillId="0" borderId="0" xfId="0" applyFont="1" applyAlignment="1">
      <alignment vertical="top" wrapText="1"/>
    </xf>
    <xf numFmtId="0" fontId="0" fillId="6" borderId="4" xfId="0" applyFill="1" applyBorder="1" applyAlignment="1">
      <alignment horizontal="center"/>
    </xf>
    <xf numFmtId="165" fontId="0" fillId="6" borderId="4" xfId="2" applyFont="1" applyFill="1" applyBorder="1"/>
    <xf numFmtId="166" fontId="0" fillId="6" borderId="3" xfId="1" applyFont="1" applyFill="1" applyBorder="1"/>
    <xf numFmtId="0" fontId="0" fillId="6" borderId="4" xfId="0" applyFill="1" applyBorder="1"/>
    <xf numFmtId="166" fontId="0" fillId="6" borderId="11" xfId="1" applyFont="1" applyFill="1" applyBorder="1"/>
    <xf numFmtId="0" fontId="7" fillId="2" borderId="2" xfId="0" applyFont="1" applyFill="1" applyBorder="1"/>
    <xf numFmtId="165" fontId="7" fillId="6" borderId="2" xfId="2" applyFont="1" applyFill="1" applyBorder="1"/>
    <xf numFmtId="0" fontId="15" fillId="5" borderId="0" xfId="0" applyFont="1" applyFill="1"/>
    <xf numFmtId="0" fontId="16" fillId="0" borderId="0" xfId="5"/>
    <xf numFmtId="0" fontId="17" fillId="0" borderId="0" xfId="5" applyFont="1" applyAlignment="1">
      <alignment horizontal="right"/>
    </xf>
    <xf numFmtId="0" fontId="17" fillId="0" borderId="0" xfId="5" applyFont="1"/>
    <xf numFmtId="0" fontId="16" fillId="0" borderId="0" xfId="5" applyAlignment="1">
      <alignment horizontal="center"/>
    </xf>
    <xf numFmtId="0" fontId="18" fillId="0" borderId="0" xfId="0" applyFont="1"/>
    <xf numFmtId="0" fontId="6" fillId="0" borderId="0" xfId="0" applyFont="1"/>
    <xf numFmtId="0" fontId="20" fillId="0" borderId="0" xfId="5" applyFont="1"/>
    <xf numFmtId="0" fontId="21" fillId="0" borderId="0" xfId="5" applyFont="1"/>
    <xf numFmtId="0" fontId="23" fillId="0" borderId="0" xfId="5" applyFont="1" applyAlignment="1">
      <alignment horizontal="right"/>
    </xf>
    <xf numFmtId="0" fontId="24" fillId="0" borderId="0" xfId="0" applyFont="1" applyAlignment="1">
      <alignment horizontal="center"/>
    </xf>
    <xf numFmtId="0" fontId="25" fillId="0" borderId="0" xfId="0" applyFont="1"/>
    <xf numFmtId="0" fontId="16" fillId="0" borderId="0" xfId="5" applyAlignment="1">
      <alignment horizontal="left"/>
    </xf>
    <xf numFmtId="0" fontId="15" fillId="0" borderId="0" xfId="0" applyFont="1"/>
    <xf numFmtId="0" fontId="26" fillId="0" borderId="0" xfId="5" applyFont="1" applyAlignment="1">
      <alignment horizontal="left"/>
    </xf>
    <xf numFmtId="0" fontId="26" fillId="0" borderId="0" xfId="5" applyFont="1" applyAlignment="1">
      <alignment horizontal="center"/>
    </xf>
    <xf numFmtId="44" fontId="26" fillId="0" borderId="0" xfId="5" applyNumberFormat="1" applyFont="1" applyAlignment="1">
      <alignment horizontal="center"/>
    </xf>
    <xf numFmtId="0" fontId="22" fillId="0" borderId="0" xfId="0" applyFont="1" applyAlignment="1">
      <alignment horizontal="center"/>
    </xf>
    <xf numFmtId="0" fontId="0" fillId="0" borderId="0" xfId="0" applyAlignment="1">
      <alignment horizontal="left"/>
    </xf>
    <xf numFmtId="0" fontId="15" fillId="5" borderId="0" xfId="0" applyFont="1" applyFill="1" applyAlignment="1">
      <alignment vertical="top"/>
    </xf>
    <xf numFmtId="0" fontId="27" fillId="0" borderId="0" xfId="0" applyFont="1" applyAlignment="1">
      <alignment horizontal="center"/>
    </xf>
    <xf numFmtId="0" fontId="19" fillId="0" borderId="0" xfId="0" applyFont="1"/>
    <xf numFmtId="0" fontId="6" fillId="0" borderId="0" xfId="0" applyFont="1" applyAlignment="1">
      <alignment horizontal="center"/>
    </xf>
    <xf numFmtId="0" fontId="0" fillId="0" borderId="0" xfId="0" quotePrefix="1"/>
    <xf numFmtId="0" fontId="28" fillId="0" borderId="0" xfId="0" applyFont="1"/>
    <xf numFmtId="0" fontId="28" fillId="0" borderId="0" xfId="0" applyFont="1" applyAlignment="1">
      <alignment horizontal="center"/>
    </xf>
    <xf numFmtId="0" fontId="28" fillId="0" borderId="0" xfId="0" applyFont="1" applyAlignment="1">
      <alignment horizontal="right" indent="1"/>
    </xf>
    <xf numFmtId="0" fontId="15" fillId="7" borderId="0" xfId="0" applyFont="1" applyFill="1"/>
    <xf numFmtId="0" fontId="22" fillId="7" borderId="0" xfId="0" applyFont="1" applyFill="1" applyAlignment="1">
      <alignment horizontal="right"/>
    </xf>
    <xf numFmtId="0" fontId="22" fillId="7" borderId="0" xfId="0" applyFont="1" applyFill="1" applyAlignment="1">
      <alignment horizontal="center"/>
    </xf>
    <xf numFmtId="0" fontId="22" fillId="7" borderId="0" xfId="0" applyFont="1" applyFill="1"/>
    <xf numFmtId="0" fontId="16" fillId="6" borderId="15" xfId="5" applyFill="1" applyBorder="1" applyAlignment="1">
      <alignment horizontal="center"/>
    </xf>
    <xf numFmtId="0" fontId="29" fillId="4" borderId="15" xfId="4" applyFont="1" applyBorder="1" applyAlignment="1">
      <alignment horizontal="left" indent="1"/>
    </xf>
    <xf numFmtId="0" fontId="0" fillId="0" borderId="16" xfId="0" applyBorder="1" applyAlignment="1">
      <alignment horizontal="center"/>
    </xf>
    <xf numFmtId="0" fontId="30" fillId="0" borderId="1" xfId="0" applyFont="1" applyBorder="1" applyAlignment="1">
      <alignment horizontal="center"/>
    </xf>
    <xf numFmtId="0" fontId="31" fillId="0" borderId="0" xfId="0" applyFont="1" applyAlignment="1">
      <alignment horizontal="center"/>
    </xf>
    <xf numFmtId="0" fontId="4" fillId="4" borderId="15" xfId="4" applyBorder="1" applyAlignment="1">
      <alignment horizontal="center"/>
    </xf>
    <xf numFmtId="0" fontId="0" fillId="6" borderId="16" xfId="0" applyFill="1" applyBorder="1" applyAlignment="1">
      <alignment horizontal="center"/>
    </xf>
    <xf numFmtId="0" fontId="32" fillId="0" borderId="0" xfId="0" applyFont="1"/>
    <xf numFmtId="0" fontId="33" fillId="0" borderId="0" xfId="0" applyFont="1"/>
    <xf numFmtId="0" fontId="33" fillId="0" borderId="0" xfId="0" applyFont="1" applyAlignment="1">
      <alignment horizontal="center"/>
    </xf>
    <xf numFmtId="0" fontId="35" fillId="0" borderId="0" xfId="5" applyFont="1" applyAlignment="1">
      <alignment horizontal="center"/>
    </xf>
    <xf numFmtId="0" fontId="36" fillId="0" borderId="0" xfId="0" applyFont="1" applyAlignment="1">
      <alignment horizontal="center"/>
    </xf>
    <xf numFmtId="0" fontId="22" fillId="7" borderId="0" xfId="0" applyFont="1" applyFill="1" applyAlignment="1">
      <alignment horizontal="right" vertical="top"/>
    </xf>
    <xf numFmtId="0" fontId="22" fillId="8" borderId="0" xfId="0" applyFont="1" applyFill="1" applyAlignment="1">
      <alignment horizontal="center"/>
    </xf>
    <xf numFmtId="0" fontId="29" fillId="4" borderId="17" xfId="4" applyFont="1" applyBorder="1" applyAlignment="1">
      <alignment horizontal="left" indent="1"/>
    </xf>
    <xf numFmtId="0" fontId="2" fillId="0" borderId="0" xfId="0" applyFont="1" applyAlignment="1">
      <alignment horizontal="center"/>
    </xf>
    <xf numFmtId="0" fontId="15" fillId="7" borderId="0" xfId="0" applyFont="1" applyFill="1" applyAlignment="1">
      <alignment vertical="top"/>
    </xf>
    <xf numFmtId="0" fontId="15" fillId="7" borderId="0" xfId="0" applyFont="1" applyFill="1" applyAlignment="1">
      <alignment horizontal="left" vertical="top"/>
    </xf>
    <xf numFmtId="0" fontId="42" fillId="0" borderId="0" xfId="5" applyFont="1" applyAlignment="1">
      <alignment horizontal="left" vertical="top"/>
    </xf>
    <xf numFmtId="0" fontId="45" fillId="0" borderId="0" xfId="0" applyFont="1"/>
    <xf numFmtId="166" fontId="0" fillId="6" borderId="15" xfId="0" applyNumberFormat="1" applyFill="1" applyBorder="1"/>
    <xf numFmtId="0" fontId="3" fillId="3" borderId="18" xfId="3" applyBorder="1" applyAlignment="1">
      <alignment horizontal="center"/>
    </xf>
    <xf numFmtId="164" fontId="4" fillId="4" borderId="15" xfId="4" applyNumberFormat="1" applyBorder="1"/>
    <xf numFmtId="0" fontId="41" fillId="0" borderId="0" xfId="6"/>
    <xf numFmtId="0" fontId="12" fillId="0" borderId="0" xfId="0" applyFont="1" applyAlignment="1">
      <alignment horizontal="left" vertical="top" wrapText="1"/>
    </xf>
    <xf numFmtId="0" fontId="34" fillId="0" borderId="0" xfId="5" applyFont="1" applyAlignment="1">
      <alignment horizontal="left"/>
    </xf>
    <xf numFmtId="0" fontId="37" fillId="0" borderId="0" xfId="0" applyFont="1" applyAlignment="1">
      <alignment horizontal="left" vertical="top" wrapText="1"/>
    </xf>
    <xf numFmtId="0" fontId="38" fillId="0" borderId="0" xfId="0" applyFont="1" applyAlignment="1">
      <alignment horizontal="left" vertical="top" wrapText="1"/>
    </xf>
  </cellXfs>
  <cellStyles count="7">
    <cellStyle name="Comma" xfId="1" builtinId="3"/>
    <cellStyle name="Currency" xfId="2" builtinId="4"/>
    <cellStyle name="Hyperlink" xfId="6" builtinId="8"/>
    <cellStyle name="Input" xfId="3" builtinId="20"/>
    <cellStyle name="Normal" xfId="0" builtinId="0"/>
    <cellStyle name="Normal 2" xfId="5" xr:uid="{30B0D3C3-18D3-46CC-9A7A-3C2C677862F0}"/>
    <cellStyle name="Output" xfId="4" builtinId="21"/>
  </cellStyles>
  <dxfs count="3">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3</xdr:row>
      <xdr:rowOff>6351</xdr:rowOff>
    </xdr:from>
    <xdr:to>
      <xdr:col>2</xdr:col>
      <xdr:colOff>381000</xdr:colOff>
      <xdr:row>11</xdr:row>
      <xdr:rowOff>123825</xdr:rowOff>
    </xdr:to>
    <xdr:pic>
      <xdr:nvPicPr>
        <xdr:cNvPr id="2" name="Imagen 1">
          <a:extLst>
            <a:ext uri="{FF2B5EF4-FFF2-40B4-BE49-F238E27FC236}">
              <a16:creationId xmlns:a16="http://schemas.microsoft.com/office/drawing/2014/main" id="{B7C9383B-7598-4C25-8E81-0B086A343B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9150" y="701676"/>
          <a:ext cx="4229100" cy="1565274"/>
        </a:xfrm>
        <a:prstGeom prst="rect">
          <a:avLst/>
        </a:prstGeom>
      </xdr:spPr>
    </xdr:pic>
    <xdr:clientData/>
  </xdr:twoCellAnchor>
  <xdr:twoCellAnchor editAs="oneCell">
    <xdr:from>
      <xdr:col>6</xdr:col>
      <xdr:colOff>349250</xdr:colOff>
      <xdr:row>1</xdr:row>
      <xdr:rowOff>66675</xdr:rowOff>
    </xdr:from>
    <xdr:to>
      <xdr:col>20</xdr:col>
      <xdr:colOff>30588</xdr:colOff>
      <xdr:row>27</xdr:row>
      <xdr:rowOff>53975</xdr:rowOff>
    </xdr:to>
    <xdr:pic>
      <xdr:nvPicPr>
        <xdr:cNvPr id="3" name="Picture 2">
          <a:extLst>
            <a:ext uri="{FF2B5EF4-FFF2-40B4-BE49-F238E27FC236}">
              <a16:creationId xmlns:a16="http://schemas.microsoft.com/office/drawing/2014/main" id="{BCC5B5EF-8136-4C31-BF35-FAE06BF5E8F5}"/>
            </a:ext>
          </a:extLst>
        </xdr:cNvPr>
        <xdr:cNvPicPr>
          <a:picLocks noChangeAspect="1"/>
        </xdr:cNvPicPr>
      </xdr:nvPicPr>
      <xdr:blipFill>
        <a:blip xmlns:r="http://schemas.openxmlformats.org/officeDocument/2006/relationships" r:embed="rId2"/>
        <a:stretch>
          <a:fillRect/>
        </a:stretch>
      </xdr:blipFill>
      <xdr:spPr>
        <a:xfrm>
          <a:off x="7626350" y="247650"/>
          <a:ext cx="8482438" cy="5445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iconline-my.sharepoint.com/Users/xavierh/Documents/0%20Proyectos/Servicios/1410%20AJUNT%20BCN%20BI/Material%20Docente/AJUNT_BCN_Sesi&#243;n3/AJUNT_BCN_Formato%20Condicio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Formato Condicional-Intro1"/>
      <sheetName val="Formato Condicional-Intro2"/>
      <sheetName val="Formato Condicional1_Raw"/>
      <sheetName val="Formato Condicional1_Solved"/>
      <sheetName val="Formato Condicional2_Raw"/>
      <sheetName val="Formato Condicional2_Solved"/>
      <sheetName val="Minigráficos"/>
      <sheetName val="what if"/>
      <sheetName val="What if2"/>
    </sheetNames>
    <sheetDataSet>
      <sheetData sheetId="0"/>
      <sheetData sheetId="1"/>
      <sheetData sheetId="2"/>
      <sheetData sheetId="3"/>
      <sheetData sheetId="4">
        <row r="5">
          <cell r="L5" t="str">
            <v>ENTREGADO</v>
          </cell>
        </row>
        <row r="6">
          <cell r="L6" t="str">
            <v>PENDIENTE ENTREGA</v>
          </cell>
        </row>
        <row r="7">
          <cell r="L7" t="str">
            <v>EXPIRADO</v>
          </cell>
        </row>
      </sheetData>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4F5C23-B9E3-4346-A2EA-E5406F6BA5A4}" name="MonthsTable" displayName="MonthsTable" ref="B3:C15" totalsRowShown="0" dataDxfId="2">
  <autoFilter ref="B3:C15" xr:uid="{344F5C23-B9E3-4346-A2EA-E5406F6BA5A4}"/>
  <tableColumns count="2">
    <tableColumn id="2" xr3:uid="{679F4975-674E-45EE-900E-CA32F53C8724}" name="MonthName" dataDxfId="1"/>
    <tableColumn id="1" xr3:uid="{33910A9B-9341-4BE5-B5C2-8CFEC3342082}" name="MonthNumber" dataDxfId="0"/>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hyperlink" Target="https://support.microsoft.com/en-us/office/subtotal-function-7b027003-f060-4ade-9040-e478765b9939"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9529E-FBC6-47E7-BF90-71A910D85BB5}">
  <sheetPr codeName="Sheet2">
    <tabColor rgb="FF00B0F0"/>
  </sheetPr>
  <dimension ref="B3:B22"/>
  <sheetViews>
    <sheetView showGridLines="0" workbookViewId="0">
      <selection activeCell="D35" sqref="D35"/>
    </sheetView>
  </sheetViews>
  <sheetFormatPr defaultColWidth="9" defaultRowHeight="14.5" x14ac:dyDescent="0.35"/>
  <cols>
    <col min="2" max="2" width="57.81640625" style="25" customWidth="1"/>
    <col min="3" max="3" width="10" customWidth="1"/>
    <col min="4" max="4" width="9.453125" customWidth="1"/>
  </cols>
  <sheetData>
    <row r="3" spans="2:2" ht="26" x14ac:dyDescent="0.6">
      <c r="B3" s="35" t="s">
        <v>184</v>
      </c>
    </row>
    <row r="16" spans="2:2" ht="21" x14ac:dyDescent="0.5">
      <c r="B16" s="36"/>
    </row>
    <row r="17" spans="2:2" ht="21" x14ac:dyDescent="0.5">
      <c r="B17" s="37" t="s">
        <v>185</v>
      </c>
    </row>
    <row r="18" spans="2:2" ht="21" x14ac:dyDescent="0.5">
      <c r="B18" s="37" t="s">
        <v>186</v>
      </c>
    </row>
    <row r="19" spans="2:2" ht="21" x14ac:dyDescent="0.5">
      <c r="B19" s="37" t="s">
        <v>187</v>
      </c>
    </row>
    <row r="20" spans="2:2" ht="21" x14ac:dyDescent="0.5">
      <c r="B20" s="37" t="s">
        <v>188</v>
      </c>
    </row>
    <row r="21" spans="2:2" ht="21" x14ac:dyDescent="0.5">
      <c r="B21" s="37" t="s">
        <v>548</v>
      </c>
    </row>
    <row r="22" spans="2:2" ht="21" x14ac:dyDescent="0.5">
      <c r="B22" s="37"/>
    </row>
  </sheetData>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sheetPr>
  <dimension ref="B2:O24"/>
  <sheetViews>
    <sheetView zoomScale="145" zoomScaleNormal="145" workbookViewId="0">
      <selection sqref="A1:XFD1"/>
    </sheetView>
  </sheetViews>
  <sheetFormatPr defaultColWidth="8.7265625" defaultRowHeight="14.5" x14ac:dyDescent="0.35"/>
  <cols>
    <col min="1" max="1" width="4.453125" customWidth="1"/>
    <col min="2" max="2" width="5.6328125" customWidth="1"/>
    <col min="3" max="3" width="17.453125" bestFit="1" customWidth="1"/>
    <col min="4" max="4" width="61.81640625" customWidth="1"/>
    <col min="5" max="5" width="10.26953125" bestFit="1" customWidth="1"/>
    <col min="6" max="6" width="10.54296875" bestFit="1" customWidth="1"/>
    <col min="7" max="7" width="10.08984375" customWidth="1"/>
    <col min="8" max="8" width="10.81640625" customWidth="1"/>
    <col min="9" max="9" width="8.453125" customWidth="1"/>
    <col min="11" max="11" width="4.1796875" customWidth="1"/>
    <col min="12" max="12" width="12.1796875" customWidth="1"/>
    <col min="13" max="15" width="17.81640625" customWidth="1"/>
  </cols>
  <sheetData>
    <row r="2" spans="2:15" ht="78" customHeight="1" x14ac:dyDescent="0.45">
      <c r="C2" s="38" t="s">
        <v>189</v>
      </c>
      <c r="D2" s="43" t="s">
        <v>191</v>
      </c>
    </row>
    <row r="3" spans="2:15" ht="18.5" x14ac:dyDescent="0.45">
      <c r="C3" s="40"/>
      <c r="D3" s="39"/>
    </row>
    <row r="4" spans="2:15" ht="18.5" x14ac:dyDescent="0.45">
      <c r="C4" s="40"/>
    </row>
    <row r="5" spans="2:15" ht="44" customHeight="1" x14ac:dyDescent="0.35">
      <c r="C5" s="41" t="s">
        <v>190</v>
      </c>
      <c r="D5" s="106" t="s">
        <v>192</v>
      </c>
      <c r="E5" s="106"/>
      <c r="F5" s="106"/>
      <c r="G5" s="106"/>
      <c r="H5" s="106"/>
    </row>
    <row r="10" spans="2:15" x14ac:dyDescent="0.35">
      <c r="B10" s="34" t="s">
        <v>182</v>
      </c>
      <c r="L10" s="34" t="s">
        <v>183</v>
      </c>
    </row>
    <row r="13" spans="2:15" x14ac:dyDescent="0.35">
      <c r="B13" s="2" t="s">
        <v>0</v>
      </c>
      <c r="C13" s="2" t="s">
        <v>1</v>
      </c>
      <c r="D13" s="2" t="s">
        <v>25</v>
      </c>
      <c r="E13" s="2" t="s">
        <v>2</v>
      </c>
      <c r="F13" s="2" t="s">
        <v>3</v>
      </c>
      <c r="G13" s="2" t="s">
        <v>4</v>
      </c>
      <c r="H13" s="2" t="s">
        <v>23</v>
      </c>
      <c r="I13" s="2" t="s">
        <v>24</v>
      </c>
      <c r="L13" s="5" t="s">
        <v>18</v>
      </c>
      <c r="M13" s="5" t="s">
        <v>1</v>
      </c>
      <c r="N13" s="5" t="s">
        <v>19</v>
      </c>
      <c r="O13" s="5" t="s">
        <v>17</v>
      </c>
    </row>
    <row r="14" spans="2:15" x14ac:dyDescent="0.35">
      <c r="B14">
        <v>154</v>
      </c>
      <c r="C14" t="s">
        <v>7</v>
      </c>
      <c r="D14" t="s">
        <v>26</v>
      </c>
      <c r="E14" s="21">
        <v>26</v>
      </c>
      <c r="F14" s="1">
        <v>42900</v>
      </c>
      <c r="G14" s="4">
        <v>0.15</v>
      </c>
      <c r="H14" s="1">
        <v>100</v>
      </c>
      <c r="I14" s="4">
        <v>0.08</v>
      </c>
      <c r="L14" s="44">
        <v>319</v>
      </c>
      <c r="M14" s="44" t="str">
        <f>VLOOKUP($L$14,$B$14:$I$23,2,FALSE)</f>
        <v>Elizabeth Marshall</v>
      </c>
      <c r="N14" s="6">
        <v>164</v>
      </c>
      <c r="O14" s="45">
        <f>M18-O22</f>
        <v>796.99153846153854</v>
      </c>
    </row>
    <row r="15" spans="2:15" ht="15" customHeight="1" x14ac:dyDescent="0.35">
      <c r="B15">
        <v>240</v>
      </c>
      <c r="C15" t="s">
        <v>11</v>
      </c>
      <c r="D15" t="s">
        <v>27</v>
      </c>
      <c r="E15" s="21">
        <v>26</v>
      </c>
      <c r="F15" s="1">
        <v>64600</v>
      </c>
      <c r="G15" s="4">
        <v>0.16</v>
      </c>
      <c r="H15" s="1">
        <v>200</v>
      </c>
      <c r="I15" s="4">
        <v>7.0000000000000007E-2</v>
      </c>
      <c r="L15" s="7" t="s">
        <v>20</v>
      </c>
      <c r="M15" s="8"/>
      <c r="N15" s="9"/>
      <c r="O15" s="10"/>
    </row>
    <row r="16" spans="2:15" x14ac:dyDescent="0.35">
      <c r="B16">
        <v>319</v>
      </c>
      <c r="C16" t="s">
        <v>5</v>
      </c>
      <c r="D16" t="s">
        <v>28</v>
      </c>
      <c r="E16" s="21">
        <v>52</v>
      </c>
      <c r="F16" s="1">
        <v>72300</v>
      </c>
      <c r="G16" s="4">
        <v>0.24</v>
      </c>
      <c r="H16" s="1">
        <v>300</v>
      </c>
      <c r="I16" s="4">
        <v>0.03</v>
      </c>
      <c r="L16" s="47" t="str">
        <f>VLOOKUP($L$14,$B$14:$I$23,3,FALSE)</f>
        <v>530 Dodge Street Anytown, USA 12345</v>
      </c>
      <c r="M16" s="12"/>
      <c r="N16" s="13"/>
      <c r="O16" s="14"/>
    </row>
    <row r="17" spans="2:15" ht="13.5" customHeight="1" x14ac:dyDescent="0.35">
      <c r="B17">
        <v>331</v>
      </c>
      <c r="C17" t="s">
        <v>13</v>
      </c>
      <c r="D17" t="s">
        <v>29</v>
      </c>
      <c r="E17" s="21">
        <v>12</v>
      </c>
      <c r="F17" s="1">
        <v>99700</v>
      </c>
      <c r="G17" s="4">
        <v>0.2</v>
      </c>
      <c r="H17" s="1">
        <v>300</v>
      </c>
      <c r="I17" s="4">
        <v>0.05</v>
      </c>
      <c r="L17" s="15"/>
      <c r="M17" s="16" t="s">
        <v>15</v>
      </c>
      <c r="N17" s="17" t="s">
        <v>21</v>
      </c>
      <c r="O17" s="18"/>
    </row>
    <row r="18" spans="2:15" x14ac:dyDescent="0.35">
      <c r="B18">
        <v>428</v>
      </c>
      <c r="C18" t="s">
        <v>9</v>
      </c>
      <c r="D18" t="s">
        <v>30</v>
      </c>
      <c r="E18" s="21">
        <v>26</v>
      </c>
      <c r="F18" s="1">
        <v>57600</v>
      </c>
      <c r="G18" s="4">
        <v>0.25</v>
      </c>
      <c r="H18" s="1">
        <v>100</v>
      </c>
      <c r="I18" s="4">
        <v>0.05</v>
      </c>
      <c r="L18" s="19"/>
      <c r="M18" s="46">
        <f>VLOOKUP($L$14,$B$14:$I$23,5,FALSE)/VLOOKUP($L$14,$B$14:$I$23,4,FALSE)</f>
        <v>1390.3846153846155</v>
      </c>
      <c r="N18" s="15" t="s">
        <v>16</v>
      </c>
      <c r="O18" s="46">
        <f>(M18-O19-O20)*VLOOKUP($L$14,$B$14:$I$23,6,FALSE)</f>
        <v>251.68153846153845</v>
      </c>
    </row>
    <row r="19" spans="2:15" x14ac:dyDescent="0.35">
      <c r="B19">
        <v>451</v>
      </c>
      <c r="C19" t="s">
        <v>8</v>
      </c>
      <c r="D19" t="s">
        <v>31</v>
      </c>
      <c r="E19" s="21">
        <v>12</v>
      </c>
      <c r="F19" s="1">
        <v>82800</v>
      </c>
      <c r="G19" s="4">
        <v>0.23</v>
      </c>
      <c r="H19" s="1">
        <v>200</v>
      </c>
      <c r="I19" s="4">
        <v>7.0000000000000007E-2</v>
      </c>
      <c r="L19" s="19"/>
      <c r="M19" s="19"/>
      <c r="N19" s="19" t="s">
        <v>23</v>
      </c>
      <c r="O19" s="48">
        <f>VLOOKUP($L$14,$B$14:$I$23,7,FALSE)</f>
        <v>300</v>
      </c>
    </row>
    <row r="20" spans="2:15" x14ac:dyDescent="0.35">
      <c r="B20">
        <v>527</v>
      </c>
      <c r="C20" t="s">
        <v>12</v>
      </c>
      <c r="D20" t="s">
        <v>32</v>
      </c>
      <c r="E20" s="21">
        <v>12</v>
      </c>
      <c r="F20" s="1">
        <v>41700</v>
      </c>
      <c r="G20" s="4">
        <v>0.17</v>
      </c>
      <c r="H20" s="1">
        <v>300</v>
      </c>
      <c r="I20" s="4">
        <v>0.04</v>
      </c>
      <c r="L20" s="19"/>
      <c r="M20" s="19"/>
      <c r="N20" s="19" t="s">
        <v>36</v>
      </c>
      <c r="O20" s="48">
        <f>M18*VLOOKUP($L$14,$B$14:$I$23,8,FALSE)</f>
        <v>41.71153846153846</v>
      </c>
    </row>
    <row r="21" spans="2:15" x14ac:dyDescent="0.35">
      <c r="B21">
        <v>540</v>
      </c>
      <c r="C21" t="s">
        <v>10</v>
      </c>
      <c r="D21" t="s">
        <v>33</v>
      </c>
      <c r="E21" s="21">
        <v>52</v>
      </c>
      <c r="F21" s="1">
        <v>83100</v>
      </c>
      <c r="G21" s="4">
        <v>0.18</v>
      </c>
      <c r="H21" s="1">
        <v>200</v>
      </c>
      <c r="I21" s="4">
        <v>0.05</v>
      </c>
      <c r="L21" s="19"/>
      <c r="M21" s="11"/>
      <c r="N21" s="11"/>
      <c r="O21" s="20"/>
    </row>
    <row r="22" spans="2:15" x14ac:dyDescent="0.35">
      <c r="B22">
        <v>665</v>
      </c>
      <c r="C22" t="s">
        <v>14</v>
      </c>
      <c r="D22" t="s">
        <v>34</v>
      </c>
      <c r="E22" s="21">
        <v>26</v>
      </c>
      <c r="F22" s="1">
        <v>70400</v>
      </c>
      <c r="G22" s="4">
        <v>0.21</v>
      </c>
      <c r="H22" s="1">
        <v>100</v>
      </c>
      <c r="I22" s="4">
        <v>0.01</v>
      </c>
      <c r="L22" s="11"/>
      <c r="M22" s="18"/>
      <c r="N22" s="49" t="s">
        <v>22</v>
      </c>
      <c r="O22" s="50">
        <f>SUM(O18:O21)</f>
        <v>593.39307692307693</v>
      </c>
    </row>
    <row r="23" spans="2:15" x14ac:dyDescent="0.35">
      <c r="B23">
        <v>981</v>
      </c>
      <c r="C23" t="s">
        <v>6</v>
      </c>
      <c r="D23" t="s">
        <v>35</v>
      </c>
      <c r="E23" s="21">
        <v>52</v>
      </c>
      <c r="F23" s="1">
        <v>50200</v>
      </c>
      <c r="G23" s="4">
        <v>0.18</v>
      </c>
      <c r="H23" s="1">
        <v>100</v>
      </c>
      <c r="I23" s="4">
        <v>0.08</v>
      </c>
      <c r="O23" s="3"/>
    </row>
    <row r="24" spans="2:15" x14ac:dyDescent="0.35">
      <c r="O24" s="3"/>
    </row>
  </sheetData>
  <sortState xmlns:xlrd2="http://schemas.microsoft.com/office/spreadsheetml/2017/richdata2" ref="B14:F23">
    <sortCondition ref="B14:B23"/>
  </sortState>
  <mergeCells count="1">
    <mergeCell ref="D5:H5"/>
  </mergeCells>
  <dataValidations count="1">
    <dataValidation type="list" allowBlank="1" showInputMessage="1" showErrorMessage="1" sqref="L14" xr:uid="{00000000-0002-0000-0000-000000000000}">
      <formula1>$B$14:$B$23</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C0B95-7FC1-4A09-BBC4-ADD580C92595}">
  <sheetPr codeName="Sheet15">
    <tabColor rgb="FF7030A0"/>
  </sheetPr>
  <dimension ref="B3:K6"/>
  <sheetViews>
    <sheetView zoomScale="145" zoomScaleNormal="145" workbookViewId="0">
      <selection activeCell="D31" sqref="D31"/>
    </sheetView>
  </sheetViews>
  <sheetFormatPr defaultColWidth="11" defaultRowHeight="14.5" x14ac:dyDescent="0.35"/>
  <cols>
    <col min="1" max="1" width="7.1796875" customWidth="1"/>
    <col min="2" max="2" width="33.453125" customWidth="1"/>
    <col min="8" max="8" width="13.453125" customWidth="1"/>
  </cols>
  <sheetData>
    <row r="3" spans="2:11" ht="23.25" customHeight="1" x14ac:dyDescent="0.55000000000000004">
      <c r="B3" s="51" t="s">
        <v>542</v>
      </c>
      <c r="C3" s="106" t="s">
        <v>541</v>
      </c>
      <c r="D3" s="106"/>
      <c r="E3" s="106"/>
      <c r="F3" s="106"/>
      <c r="G3" s="106"/>
      <c r="H3" s="106"/>
      <c r="I3" s="106"/>
      <c r="J3" s="106"/>
      <c r="K3" s="106"/>
    </row>
    <row r="4" spans="2:11" ht="15.75" customHeight="1" x14ac:dyDescent="0.55000000000000004">
      <c r="B4" s="51"/>
    </row>
    <row r="6" spans="2:11" ht="23.5" x14ac:dyDescent="0.55000000000000004">
      <c r="B6" s="51" t="s">
        <v>194</v>
      </c>
      <c r="C6" s="106" t="s">
        <v>193</v>
      </c>
      <c r="D6" s="106"/>
      <c r="E6" s="106"/>
      <c r="F6" s="106"/>
      <c r="G6" s="106"/>
      <c r="H6" s="106"/>
      <c r="I6" s="106"/>
      <c r="J6" s="106"/>
      <c r="K6" s="106"/>
    </row>
  </sheetData>
  <mergeCells count="2">
    <mergeCell ref="C3:K3"/>
    <mergeCell ref="C6:K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4D50A-CF15-486E-900E-3EA1CFA56488}">
  <sheetPr codeName="Sheet16">
    <tabColor theme="7"/>
  </sheetPr>
  <dimension ref="B3:S68"/>
  <sheetViews>
    <sheetView tabSelected="1" topLeftCell="A36" zoomScale="115" zoomScaleNormal="115" workbookViewId="0">
      <selection activeCell="D44" sqref="D44:F67"/>
    </sheetView>
  </sheetViews>
  <sheetFormatPr defaultColWidth="11" defaultRowHeight="14.5" x14ac:dyDescent="0.35"/>
  <cols>
    <col min="3" max="3" width="22.1796875" customWidth="1"/>
    <col min="4" max="4" width="15" customWidth="1"/>
    <col min="5" max="5" width="27.81640625" customWidth="1"/>
    <col min="7" max="7" width="19.54296875" customWidth="1"/>
    <col min="8" max="8" width="30.81640625" customWidth="1"/>
    <col min="9" max="9" width="23.453125" customWidth="1"/>
    <col min="10" max="10" width="20.7265625" customWidth="1"/>
    <col min="12" max="12" width="12" customWidth="1"/>
    <col min="13" max="13" width="12.81640625" customWidth="1"/>
    <col min="16" max="16" width="13.1796875" customWidth="1"/>
    <col min="18" max="18" width="24.1796875" customWidth="1"/>
    <col min="19" max="19" width="30.81640625" style="25" customWidth="1"/>
  </cols>
  <sheetData>
    <row r="3" spans="2:12" ht="26" x14ac:dyDescent="0.6">
      <c r="B3" s="71">
        <v>1</v>
      </c>
      <c r="C3" s="51" t="s">
        <v>538</v>
      </c>
      <c r="D3" s="106" t="s">
        <v>540</v>
      </c>
      <c r="E3" s="106"/>
      <c r="F3" s="106"/>
      <c r="G3" s="106"/>
      <c r="H3" s="106"/>
      <c r="I3" s="106"/>
      <c r="J3" s="106"/>
      <c r="K3" s="106"/>
      <c r="L3" s="106"/>
    </row>
    <row r="4" spans="2:12" ht="28.5" x14ac:dyDescent="0.65">
      <c r="C4" s="62"/>
    </row>
    <row r="5" spans="2:12" ht="29.5" customHeight="1" x14ac:dyDescent="0.35">
      <c r="C5" s="70" t="s">
        <v>189</v>
      </c>
      <c r="D5" s="106" t="s">
        <v>539</v>
      </c>
      <c r="E5" s="106"/>
      <c r="F5" s="106"/>
      <c r="G5" s="106"/>
      <c r="H5" s="106"/>
      <c r="I5" s="106"/>
      <c r="J5" s="106"/>
      <c r="K5" s="106"/>
      <c r="L5" s="106"/>
    </row>
    <row r="6" spans="2:12" ht="28.5" x14ac:dyDescent="0.65">
      <c r="C6" s="62"/>
      <c r="D6" s="69"/>
    </row>
    <row r="7" spans="2:12" ht="26" x14ac:dyDescent="0.6">
      <c r="B7" s="71">
        <v>2</v>
      </c>
      <c r="C7" s="51" t="s">
        <v>538</v>
      </c>
      <c r="D7" s="106" t="s">
        <v>537</v>
      </c>
      <c r="E7" s="106"/>
      <c r="F7" s="106"/>
      <c r="G7" s="106"/>
      <c r="H7" s="106"/>
      <c r="I7" s="106"/>
      <c r="J7" s="106"/>
      <c r="K7" s="106"/>
      <c r="L7" s="106"/>
    </row>
    <row r="8" spans="2:12" ht="28.5" x14ac:dyDescent="0.65">
      <c r="C8" s="62"/>
    </row>
    <row r="9" spans="2:12" ht="49.5" customHeight="1" x14ac:dyDescent="0.35">
      <c r="C9" s="70" t="s">
        <v>189</v>
      </c>
      <c r="D9" s="106" t="s">
        <v>536</v>
      </c>
      <c r="E9" s="106"/>
      <c r="F9" s="106"/>
      <c r="G9" s="106"/>
      <c r="H9" s="106"/>
      <c r="I9" s="106"/>
      <c r="J9" s="106"/>
      <c r="K9" s="106"/>
      <c r="L9" s="106"/>
    </row>
    <row r="10" spans="2:12" ht="28.5" x14ac:dyDescent="0.65">
      <c r="C10" s="62"/>
      <c r="D10" s="69"/>
    </row>
    <row r="11" spans="2:12" ht="28.5" x14ac:dyDescent="0.65">
      <c r="C11" s="62"/>
      <c r="D11" s="69"/>
    </row>
    <row r="12" spans="2:12" ht="23.5" x14ac:dyDescent="0.55000000000000004">
      <c r="C12" s="78" t="s">
        <v>535</v>
      </c>
    </row>
    <row r="13" spans="2:12" ht="9" customHeight="1" x14ac:dyDescent="0.55000000000000004">
      <c r="C13" s="64"/>
    </row>
    <row r="14" spans="2:12" ht="26" x14ac:dyDescent="0.6">
      <c r="B14" s="61">
        <v>2</v>
      </c>
      <c r="C14" s="79" t="s">
        <v>189</v>
      </c>
      <c r="D14" s="106" t="s">
        <v>534</v>
      </c>
      <c r="E14" s="106"/>
      <c r="F14" s="106"/>
      <c r="G14" s="106"/>
      <c r="H14" s="106"/>
      <c r="I14" s="106"/>
      <c r="J14" s="106"/>
      <c r="K14" s="106"/>
      <c r="L14" s="106"/>
    </row>
    <row r="15" spans="2:12" ht="18.5" x14ac:dyDescent="0.45">
      <c r="C15" s="60"/>
      <c r="K15" s="40"/>
      <c r="L15" s="39"/>
    </row>
    <row r="16" spans="2:12" ht="18.5" x14ac:dyDescent="0.45">
      <c r="C16" s="79" t="s">
        <v>190</v>
      </c>
      <c r="D16" s="106" t="s">
        <v>533</v>
      </c>
      <c r="E16" s="106"/>
      <c r="F16" s="106"/>
      <c r="G16" s="106"/>
      <c r="H16" s="106"/>
      <c r="I16" s="106"/>
      <c r="J16" s="106"/>
      <c r="K16" s="106"/>
      <c r="L16" s="106"/>
    </row>
    <row r="17" spans="2:12" ht="23.5" x14ac:dyDescent="0.55000000000000004">
      <c r="C17" s="64"/>
    </row>
    <row r="18" spans="2:12" ht="23.5" x14ac:dyDescent="0.55000000000000004">
      <c r="C18" s="64"/>
      <c r="D18" s="80" t="s">
        <v>529</v>
      </c>
      <c r="E18" s="68"/>
      <c r="F18" s="81" t="s">
        <v>525</v>
      </c>
      <c r="G18" s="81" t="s">
        <v>532</v>
      </c>
    </row>
    <row r="19" spans="2:12" ht="23.5" x14ac:dyDescent="0.55000000000000004">
      <c r="C19" s="64"/>
      <c r="D19" s="66">
        <v>10247</v>
      </c>
      <c r="E19" s="66"/>
      <c r="F19" s="66">
        <f>D23</f>
        <v>10252</v>
      </c>
      <c r="G19" s="82">
        <f>MATCH(F19,$D$19:$D$23)</f>
        <v>5</v>
      </c>
    </row>
    <row r="20" spans="2:12" ht="23.5" x14ac:dyDescent="0.55000000000000004">
      <c r="C20" s="64"/>
      <c r="D20" s="66">
        <v>10249</v>
      </c>
      <c r="E20" s="66"/>
      <c r="F20" s="66">
        <f>D20</f>
        <v>10249</v>
      </c>
      <c r="G20" s="82">
        <f t="shared" ref="G20:G23" si="0">MATCH(F20,$D$19:$D$23)</f>
        <v>2</v>
      </c>
    </row>
    <row r="21" spans="2:12" ht="23.5" x14ac:dyDescent="0.55000000000000004">
      <c r="C21" s="64"/>
      <c r="D21" s="66">
        <v>10250</v>
      </c>
      <c r="E21" s="66"/>
      <c r="F21" s="66">
        <f>D19</f>
        <v>10247</v>
      </c>
      <c r="G21" s="82">
        <f t="shared" si="0"/>
        <v>1</v>
      </c>
    </row>
    <row r="22" spans="2:12" ht="23.5" x14ac:dyDescent="0.55000000000000004">
      <c r="C22" s="64"/>
      <c r="D22" s="66">
        <v>10251</v>
      </c>
      <c r="E22" s="66"/>
      <c r="F22" s="66">
        <f>D22</f>
        <v>10251</v>
      </c>
      <c r="G22" s="82">
        <f t="shared" si="0"/>
        <v>4</v>
      </c>
    </row>
    <row r="23" spans="2:12" ht="23.5" x14ac:dyDescent="0.55000000000000004">
      <c r="C23" s="64"/>
      <c r="D23" s="66">
        <v>10252</v>
      </c>
      <c r="E23" s="66"/>
      <c r="F23" s="66">
        <f>D21</f>
        <v>10250</v>
      </c>
      <c r="G23" s="82">
        <f t="shared" si="0"/>
        <v>3</v>
      </c>
    </row>
    <row r="24" spans="2:12" ht="23.5" x14ac:dyDescent="0.55000000000000004">
      <c r="C24" s="64"/>
    </row>
    <row r="25" spans="2:12" ht="23.5" x14ac:dyDescent="0.55000000000000004">
      <c r="C25" s="64"/>
    </row>
    <row r="26" spans="2:12" ht="26" x14ac:dyDescent="0.6">
      <c r="B26" s="61">
        <v>3</v>
      </c>
      <c r="C26" s="79" t="s">
        <v>189</v>
      </c>
      <c r="D26" s="106" t="s">
        <v>531</v>
      </c>
      <c r="E26" s="106"/>
      <c r="F26" s="106"/>
      <c r="G26" s="106"/>
      <c r="H26" s="106"/>
      <c r="I26" s="106"/>
      <c r="J26" s="106"/>
      <c r="K26" s="106"/>
      <c r="L26" s="106"/>
    </row>
    <row r="27" spans="2:12" ht="18.5" x14ac:dyDescent="0.45">
      <c r="C27" s="60"/>
      <c r="K27" s="40"/>
      <c r="L27" s="39"/>
    </row>
    <row r="28" spans="2:12" ht="18.5" x14ac:dyDescent="0.45">
      <c r="C28" s="79" t="s">
        <v>190</v>
      </c>
      <c r="D28" s="106" t="s">
        <v>530</v>
      </c>
      <c r="E28" s="106"/>
      <c r="F28" s="106"/>
      <c r="G28" s="106"/>
      <c r="H28" s="106"/>
      <c r="I28" s="106"/>
      <c r="J28" s="106"/>
      <c r="K28" s="106"/>
      <c r="L28" s="106"/>
    </row>
    <row r="29" spans="2:12" ht="23.5" x14ac:dyDescent="0.55000000000000004">
      <c r="C29" s="64"/>
    </row>
    <row r="30" spans="2:12" ht="23.5" x14ac:dyDescent="0.55000000000000004">
      <c r="C30" s="64"/>
      <c r="D30" s="80" t="s">
        <v>529</v>
      </c>
      <c r="E30" s="80" t="s">
        <v>528</v>
      </c>
      <c r="F30" s="80" t="s">
        <v>527</v>
      </c>
      <c r="G30" s="80" t="s">
        <v>526</v>
      </c>
      <c r="I30" s="81" t="s">
        <v>525</v>
      </c>
      <c r="J30" s="81" t="s">
        <v>524</v>
      </c>
    </row>
    <row r="31" spans="2:12" ht="23.5" x14ac:dyDescent="0.55000000000000004">
      <c r="C31" s="64"/>
      <c r="D31" s="66">
        <v>10247</v>
      </c>
      <c r="E31" s="66" t="s">
        <v>523</v>
      </c>
      <c r="F31" s="67">
        <v>14</v>
      </c>
      <c r="G31" s="66">
        <v>12</v>
      </c>
      <c r="H31" s="65"/>
      <c r="I31" s="65" t="s">
        <v>522</v>
      </c>
      <c r="J31" s="82">
        <f>INDEX($D$31:$G$35,1,1)</f>
        <v>10247</v>
      </c>
      <c r="K31" s="55"/>
      <c r="L31" s="55"/>
    </row>
    <row r="32" spans="2:12" ht="23.5" x14ac:dyDescent="0.55000000000000004">
      <c r="C32" s="64"/>
      <c r="D32" s="66">
        <v>10249</v>
      </c>
      <c r="E32" s="66" t="s">
        <v>521</v>
      </c>
      <c r="F32" s="67">
        <v>9.8000000000000007</v>
      </c>
      <c r="G32" s="66">
        <v>10</v>
      </c>
      <c r="H32" s="65"/>
      <c r="I32" s="65" t="s">
        <v>520</v>
      </c>
      <c r="J32" s="82" t="str">
        <f>INDEX($D$31:$G$35,1,2)</f>
        <v>Apples</v>
      </c>
      <c r="K32" s="55"/>
      <c r="L32" s="55"/>
    </row>
    <row r="33" spans="2:12" ht="23.5" x14ac:dyDescent="0.55000000000000004">
      <c r="C33" s="64"/>
      <c r="D33" s="66">
        <v>10250</v>
      </c>
      <c r="E33" s="66" t="s">
        <v>519</v>
      </c>
      <c r="F33" s="67">
        <v>34.799999999999997</v>
      </c>
      <c r="G33" s="66">
        <v>5</v>
      </c>
      <c r="H33" s="65"/>
      <c r="I33" s="65" t="s">
        <v>518</v>
      </c>
      <c r="J33" s="82">
        <f>INDEX($D$31:$G$35,1,3)</f>
        <v>14</v>
      </c>
      <c r="K33" s="55"/>
      <c r="L33" s="55"/>
    </row>
    <row r="34" spans="2:12" ht="23.5" x14ac:dyDescent="0.55000000000000004">
      <c r="C34" s="64"/>
      <c r="D34" s="66">
        <v>10251</v>
      </c>
      <c r="E34" s="66" t="s">
        <v>517</v>
      </c>
      <c r="F34" s="67">
        <v>18.600000000000001</v>
      </c>
      <c r="G34" s="66">
        <v>9</v>
      </c>
      <c r="H34" s="65"/>
      <c r="I34" s="65" t="s">
        <v>516</v>
      </c>
      <c r="J34" s="82">
        <f>INDEX($D$31:$G$35,1,4)</f>
        <v>12</v>
      </c>
      <c r="K34" s="55"/>
      <c r="L34" s="55"/>
    </row>
    <row r="35" spans="2:12" ht="23.5" x14ac:dyDescent="0.55000000000000004">
      <c r="C35" s="64"/>
      <c r="D35" s="66">
        <v>10252</v>
      </c>
      <c r="E35" s="66" t="s">
        <v>515</v>
      </c>
      <c r="F35" s="67">
        <v>42.3</v>
      </c>
      <c r="G35" s="66">
        <v>40</v>
      </c>
      <c r="H35" s="65"/>
      <c r="I35" s="65" t="s">
        <v>514</v>
      </c>
      <c r="J35" s="82">
        <f>INDEX($D$31:$G$35,2,1)</f>
        <v>10249</v>
      </c>
      <c r="K35" s="55"/>
      <c r="L35" s="55"/>
    </row>
    <row r="36" spans="2:12" ht="23.5" x14ac:dyDescent="0.55000000000000004">
      <c r="C36" s="64"/>
      <c r="D36" s="55"/>
      <c r="E36" s="55"/>
      <c r="F36" s="55"/>
      <c r="G36" s="55"/>
      <c r="H36" s="63"/>
      <c r="I36" s="63"/>
      <c r="J36" s="55"/>
      <c r="K36" s="55"/>
      <c r="L36" s="55"/>
    </row>
    <row r="37" spans="2:12" ht="26" x14ac:dyDescent="0.6">
      <c r="B37" s="61">
        <v>4</v>
      </c>
      <c r="C37" s="79" t="s">
        <v>189</v>
      </c>
      <c r="D37" s="106" t="s">
        <v>546</v>
      </c>
      <c r="E37" s="106"/>
      <c r="F37" s="106"/>
      <c r="G37" s="106"/>
      <c r="H37" s="106"/>
      <c r="I37" s="106"/>
      <c r="J37" s="106"/>
      <c r="K37" s="106"/>
      <c r="L37" s="106"/>
    </row>
    <row r="38" spans="2:12" ht="18.5" x14ac:dyDescent="0.45">
      <c r="C38" s="60"/>
      <c r="K38" s="40"/>
      <c r="L38" s="39"/>
    </row>
    <row r="39" spans="2:12" ht="45.5" customHeight="1" x14ac:dyDescent="0.45">
      <c r="C39" s="79" t="s">
        <v>190</v>
      </c>
      <c r="D39" s="106" t="s">
        <v>580</v>
      </c>
      <c r="E39" s="106"/>
      <c r="F39" s="106"/>
      <c r="G39" s="106"/>
      <c r="H39" s="106"/>
      <c r="I39" s="106"/>
      <c r="J39" s="106"/>
      <c r="K39" s="106"/>
      <c r="L39" s="106"/>
    </row>
    <row r="40" spans="2:12" ht="23.5" x14ac:dyDescent="0.55000000000000004">
      <c r="C40" s="64"/>
      <c r="D40" s="55"/>
      <c r="E40" s="55"/>
      <c r="F40" s="55"/>
      <c r="G40" s="55"/>
      <c r="H40" s="63"/>
      <c r="I40" s="63"/>
      <c r="J40" s="55"/>
      <c r="K40" s="55"/>
      <c r="L40" s="55"/>
    </row>
    <row r="41" spans="2:12" ht="23.5" x14ac:dyDescent="0.55000000000000004">
      <c r="C41" s="64"/>
      <c r="D41" s="55"/>
      <c r="E41" s="55"/>
      <c r="F41" s="55"/>
      <c r="G41" s="55"/>
      <c r="H41" s="63"/>
      <c r="I41" s="63"/>
      <c r="J41" s="55"/>
      <c r="K41" s="55"/>
      <c r="L41" s="55"/>
    </row>
    <row r="42" spans="2:12" ht="23.5" x14ac:dyDescent="0.55000000000000004">
      <c r="C42" s="64"/>
      <c r="D42" s="55"/>
      <c r="E42" s="55"/>
      <c r="F42" s="55"/>
      <c r="G42" s="55"/>
      <c r="H42" s="63"/>
      <c r="I42" s="63"/>
      <c r="J42" s="55"/>
      <c r="K42" s="55"/>
      <c r="L42" s="55"/>
    </row>
    <row r="43" spans="2:12" ht="23.5" x14ac:dyDescent="0.55000000000000004">
      <c r="C43" s="64"/>
      <c r="D43" s="55"/>
      <c r="E43" s="55"/>
      <c r="F43" s="55"/>
      <c r="G43" s="55"/>
      <c r="H43" s="63"/>
      <c r="I43" s="63"/>
      <c r="J43" s="55"/>
      <c r="K43" s="55"/>
      <c r="L43" s="55"/>
    </row>
    <row r="44" spans="2:12" ht="23.5" x14ac:dyDescent="0.55000000000000004">
      <c r="C44" s="64"/>
      <c r="D44" s="85" t="s">
        <v>37</v>
      </c>
      <c r="E44" s="85" t="s">
        <v>38</v>
      </c>
      <c r="F44" s="85" t="s">
        <v>87</v>
      </c>
      <c r="G44" s="55"/>
      <c r="H44" s="77" t="s">
        <v>85</v>
      </c>
      <c r="I44" s="80" t="s">
        <v>83</v>
      </c>
      <c r="J44" s="55"/>
      <c r="K44" s="55"/>
      <c r="L44" s="55"/>
    </row>
    <row r="45" spans="2:12" ht="17.5" customHeight="1" x14ac:dyDescent="0.55000000000000004">
      <c r="C45" s="64"/>
      <c r="D45" s="86" t="s">
        <v>44</v>
      </c>
      <c r="E45" s="86" t="s">
        <v>42</v>
      </c>
      <c r="F45" s="86">
        <v>6493</v>
      </c>
      <c r="G45" s="55"/>
      <c r="J45" s="55"/>
      <c r="K45" s="55"/>
      <c r="L45" s="55"/>
    </row>
    <row r="46" spans="2:12" ht="17.5" customHeight="1" x14ac:dyDescent="0.55000000000000004">
      <c r="C46" s="64"/>
      <c r="D46" s="86" t="s">
        <v>78</v>
      </c>
      <c r="E46" s="86" t="s">
        <v>39</v>
      </c>
      <c r="F46" s="86">
        <v>4369</v>
      </c>
      <c r="G46" s="55"/>
      <c r="H46" s="77" t="s">
        <v>578</v>
      </c>
      <c r="I46" s="83" t="str">
        <f>INDEX(D45:F67,MATCH(I44,E45:E67,FALSE),1)</f>
        <v>Manchester</v>
      </c>
      <c r="J46" s="55"/>
      <c r="K46" s="55"/>
      <c r="L46" s="55"/>
    </row>
    <row r="47" spans="2:12" ht="17.5" customHeight="1" x14ac:dyDescent="0.55000000000000004">
      <c r="C47" s="64"/>
      <c r="D47" s="86" t="s">
        <v>80</v>
      </c>
      <c r="E47" s="86" t="s">
        <v>81</v>
      </c>
      <c r="F47" s="86">
        <v>4505</v>
      </c>
      <c r="G47" s="55"/>
      <c r="H47" s="77" t="s">
        <v>579</v>
      </c>
      <c r="I47" s="83">
        <f>INDEX(D45:F67,MATCH(I44,E45:E67,FALSE),3)</f>
        <v>2608</v>
      </c>
      <c r="J47" s="55"/>
      <c r="K47" s="55"/>
      <c r="L47" s="55"/>
    </row>
    <row r="48" spans="2:12" ht="17.5" customHeight="1" x14ac:dyDescent="0.55000000000000004">
      <c r="C48" s="64"/>
      <c r="D48" s="86" t="s">
        <v>66</v>
      </c>
      <c r="E48" s="86" t="s">
        <v>55</v>
      </c>
      <c r="F48" s="86">
        <v>8745</v>
      </c>
      <c r="G48" s="55"/>
      <c r="H48" s="77"/>
      <c r="I48" s="55"/>
      <c r="J48" s="55"/>
      <c r="K48" s="55"/>
      <c r="L48" s="55"/>
    </row>
    <row r="49" spans="3:12" ht="17.5" customHeight="1" x14ac:dyDescent="0.55000000000000004">
      <c r="C49" s="64"/>
      <c r="D49" s="86" t="s">
        <v>73</v>
      </c>
      <c r="E49" s="86" t="s">
        <v>74</v>
      </c>
      <c r="F49" s="86">
        <v>6273</v>
      </c>
      <c r="G49" s="55"/>
      <c r="J49" s="55"/>
      <c r="K49" s="55"/>
      <c r="L49" s="55"/>
    </row>
    <row r="50" spans="3:12" ht="17.5" customHeight="1" x14ac:dyDescent="0.35">
      <c r="D50" s="86" t="s">
        <v>67</v>
      </c>
      <c r="E50" s="86" t="s">
        <v>68</v>
      </c>
      <c r="F50" s="86">
        <v>9384</v>
      </c>
    </row>
    <row r="51" spans="3:12" ht="17.5" customHeight="1" x14ac:dyDescent="0.35">
      <c r="D51" s="86" t="s">
        <v>45</v>
      </c>
      <c r="E51" s="86" t="s">
        <v>46</v>
      </c>
      <c r="F51" s="86">
        <v>5654</v>
      </c>
    </row>
    <row r="52" spans="3:12" ht="17.5" customHeight="1" x14ac:dyDescent="0.35">
      <c r="D52" s="86" t="s">
        <v>72</v>
      </c>
      <c r="E52" s="86" t="s">
        <v>69</v>
      </c>
      <c r="F52" s="86">
        <v>3972</v>
      </c>
    </row>
    <row r="53" spans="3:12" ht="17.5" customHeight="1" x14ac:dyDescent="0.35">
      <c r="D53" s="86" t="s">
        <v>84</v>
      </c>
      <c r="E53" s="86" t="s">
        <v>48</v>
      </c>
      <c r="F53" s="86">
        <v>8816</v>
      </c>
    </row>
    <row r="54" spans="3:12" ht="17.5" customHeight="1" x14ac:dyDescent="0.35">
      <c r="D54" s="86" t="s">
        <v>70</v>
      </c>
      <c r="E54" s="86" t="s">
        <v>71</v>
      </c>
      <c r="F54" s="86">
        <v>3331</v>
      </c>
    </row>
    <row r="55" spans="3:12" ht="17.5" customHeight="1" x14ac:dyDescent="0.35">
      <c r="D55" s="86" t="s">
        <v>77</v>
      </c>
      <c r="E55" s="86" t="s">
        <v>49</v>
      </c>
      <c r="F55" s="86">
        <v>3335</v>
      </c>
    </row>
    <row r="56" spans="3:12" ht="17.5" customHeight="1" x14ac:dyDescent="0.35">
      <c r="D56" s="86" t="s">
        <v>82</v>
      </c>
      <c r="E56" s="86" t="s">
        <v>83</v>
      </c>
      <c r="F56" s="86">
        <v>2608</v>
      </c>
    </row>
    <row r="57" spans="3:12" ht="17.5" customHeight="1" x14ac:dyDescent="0.35">
      <c r="D57" s="86" t="s">
        <v>60</v>
      </c>
      <c r="E57" s="86" t="s">
        <v>61</v>
      </c>
      <c r="F57" s="86">
        <v>4122</v>
      </c>
    </row>
    <row r="58" spans="3:12" ht="17.5" customHeight="1" x14ac:dyDescent="0.35">
      <c r="D58" s="86" t="s">
        <v>50</v>
      </c>
      <c r="E58" s="86" t="s">
        <v>51</v>
      </c>
      <c r="F58" s="86">
        <v>1022</v>
      </c>
    </row>
    <row r="59" spans="3:12" ht="17.5" customHeight="1" x14ac:dyDescent="0.35">
      <c r="D59" s="86" t="s">
        <v>64</v>
      </c>
      <c r="E59" s="86" t="s">
        <v>65</v>
      </c>
      <c r="F59" s="86">
        <v>7681</v>
      </c>
    </row>
    <row r="60" spans="3:12" ht="17.5" customHeight="1" x14ac:dyDescent="0.35">
      <c r="D60" s="86" t="s">
        <v>75</v>
      </c>
      <c r="E60" s="86" t="s">
        <v>76</v>
      </c>
      <c r="F60" s="86">
        <v>8567</v>
      </c>
    </row>
    <row r="61" spans="3:12" ht="17.5" customHeight="1" x14ac:dyDescent="0.35">
      <c r="D61" s="86" t="s">
        <v>79</v>
      </c>
      <c r="E61" s="86" t="s">
        <v>56</v>
      </c>
      <c r="F61" s="86">
        <v>3507</v>
      </c>
    </row>
    <row r="62" spans="3:12" ht="17.5" customHeight="1" x14ac:dyDescent="0.35">
      <c r="D62" s="86" t="s">
        <v>57</v>
      </c>
      <c r="E62" s="86" t="s">
        <v>54</v>
      </c>
      <c r="F62" s="86">
        <v>7326</v>
      </c>
    </row>
    <row r="63" spans="3:12" ht="17.5" customHeight="1" x14ac:dyDescent="0.35">
      <c r="D63" s="86" t="s">
        <v>62</v>
      </c>
      <c r="E63" s="86" t="s">
        <v>63</v>
      </c>
      <c r="F63" s="86">
        <v>4643</v>
      </c>
    </row>
    <row r="64" spans="3:12" ht="17.5" customHeight="1" x14ac:dyDescent="0.35">
      <c r="D64" s="86" t="s">
        <v>58</v>
      </c>
      <c r="E64" s="86" t="s">
        <v>59</v>
      </c>
      <c r="F64" s="86">
        <v>8304</v>
      </c>
    </row>
    <row r="65" spans="4:6" ht="17.5" customHeight="1" x14ac:dyDescent="0.35">
      <c r="D65" s="86" t="s">
        <v>47</v>
      </c>
      <c r="E65" s="86" t="s">
        <v>40</v>
      </c>
      <c r="F65" s="86">
        <v>7676</v>
      </c>
    </row>
    <row r="66" spans="4:6" ht="17.5" customHeight="1" x14ac:dyDescent="0.35">
      <c r="D66" s="86" t="s">
        <v>43</v>
      </c>
      <c r="E66" s="86" t="s">
        <v>41</v>
      </c>
      <c r="F66" s="86">
        <v>4938</v>
      </c>
    </row>
    <row r="67" spans="4:6" ht="17.5" customHeight="1" x14ac:dyDescent="0.35">
      <c r="D67" s="86" t="s">
        <v>52</v>
      </c>
      <c r="E67" s="86" t="s">
        <v>53</v>
      </c>
      <c r="F67" s="86">
        <v>1701</v>
      </c>
    </row>
    <row r="68" spans="4:6" x14ac:dyDescent="0.35">
      <c r="D68" s="76"/>
      <c r="E68" s="76"/>
      <c r="F68" s="76"/>
    </row>
  </sheetData>
  <mergeCells count="10">
    <mergeCell ref="D39:L39"/>
    <mergeCell ref="D3:L3"/>
    <mergeCell ref="D5:L5"/>
    <mergeCell ref="D7:L7"/>
    <mergeCell ref="D9:L9"/>
    <mergeCell ref="D37:L37"/>
    <mergeCell ref="D26:L26"/>
    <mergeCell ref="D28:L28"/>
    <mergeCell ref="D14:L14"/>
    <mergeCell ref="D16:L16"/>
  </mergeCells>
  <dataValidations count="1">
    <dataValidation type="list" allowBlank="1" showInputMessage="1" showErrorMessage="1" sqref="I44" xr:uid="{5636A2DA-9204-4F44-A6D6-49237A00D5C5}">
      <formula1>$E$45:$E$67</formula1>
    </dataValidation>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4F92B-D494-4C77-B73E-1B07F6094C76}">
  <sheetPr codeName="Sheet17">
    <tabColor theme="9"/>
  </sheetPr>
  <dimension ref="A3:R478"/>
  <sheetViews>
    <sheetView zoomScale="115" zoomScaleNormal="115" workbookViewId="0">
      <selection activeCell="I9" sqref="I9"/>
    </sheetView>
  </sheetViews>
  <sheetFormatPr defaultColWidth="11" defaultRowHeight="14.5" x14ac:dyDescent="0.35"/>
  <cols>
    <col min="2" max="2" width="22.1796875" customWidth="1"/>
    <col min="3" max="3" width="15" customWidth="1"/>
    <col min="4" max="4" width="27.81640625" customWidth="1"/>
    <col min="6" max="6" width="19.54296875" customWidth="1"/>
    <col min="7" max="7" width="30.81640625" customWidth="1"/>
    <col min="8" max="8" width="23.453125" customWidth="1"/>
    <col min="9" max="9" width="20.7265625" customWidth="1"/>
    <col min="11" max="11" width="12" customWidth="1"/>
    <col min="12" max="12" width="12.81640625" customWidth="1"/>
    <col min="15" max="15" width="13.1796875" customWidth="1"/>
    <col min="17" max="17" width="24.1796875" customWidth="1"/>
    <col min="18" max="18" width="30.81640625" style="25" customWidth="1"/>
  </cols>
  <sheetData>
    <row r="3" spans="1:18" ht="26" x14ac:dyDescent="0.6">
      <c r="A3" s="61"/>
      <c r="B3" s="79" t="s">
        <v>189</v>
      </c>
      <c r="C3" s="106" t="s">
        <v>513</v>
      </c>
      <c r="D3" s="106"/>
      <c r="E3" s="106"/>
      <c r="F3" s="106"/>
      <c r="G3" s="106"/>
      <c r="H3" s="106"/>
      <c r="I3" s="106"/>
      <c r="J3" s="106"/>
      <c r="K3" s="106"/>
    </row>
    <row r="4" spans="1:18" ht="18.5" x14ac:dyDescent="0.45">
      <c r="B4" s="60"/>
      <c r="J4" s="40"/>
      <c r="K4" s="39"/>
    </row>
    <row r="5" spans="1:18" ht="18.5" x14ac:dyDescent="0.45">
      <c r="B5" s="79" t="s">
        <v>190</v>
      </c>
      <c r="C5" s="106" t="s">
        <v>512</v>
      </c>
      <c r="D5" s="106"/>
      <c r="E5" s="106"/>
      <c r="F5" s="106"/>
      <c r="G5" s="106"/>
      <c r="H5" s="106"/>
      <c r="I5" s="106"/>
      <c r="J5" s="106"/>
      <c r="K5" s="106"/>
    </row>
    <row r="7" spans="1:18" ht="15" thickBot="1" x14ac:dyDescent="0.4"/>
    <row r="8" spans="1:18" ht="19" thickBot="1" x14ac:dyDescent="0.5">
      <c r="C8" s="79" t="s">
        <v>37</v>
      </c>
      <c r="D8" s="84" t="s">
        <v>248</v>
      </c>
    </row>
    <row r="9" spans="1:18" ht="19" thickBot="1" x14ac:dyDescent="0.5">
      <c r="C9" s="79" t="s">
        <v>497</v>
      </c>
      <c r="D9" s="88" t="s">
        <v>504</v>
      </c>
      <c r="E9">
        <f>VLOOKUP(Exercise2_SOLVED!D9,MonthsTable[],2,FALSE)</f>
        <v>6</v>
      </c>
    </row>
    <row r="10" spans="1:18" ht="19" thickBot="1" x14ac:dyDescent="0.5">
      <c r="C10" s="79" t="s">
        <v>511</v>
      </c>
      <c r="D10" s="88" cm="1">
        <f t="array" ref="D10">INDEX($B$15:$N$298,MATCH(D8,$G$15:$G$298,0),IF(E9&gt;=6,E9+1,E9))</f>
        <v>5.94</v>
      </c>
    </row>
    <row r="11" spans="1:18" x14ac:dyDescent="0.35">
      <c r="C11" s="52"/>
      <c r="E11" s="52"/>
      <c r="F11" s="52"/>
      <c r="G11" s="52"/>
      <c r="H11" s="52"/>
      <c r="I11" s="52"/>
      <c r="J11" s="52"/>
      <c r="K11" s="52"/>
      <c r="L11" s="52"/>
      <c r="M11" s="52"/>
      <c r="N11" s="52"/>
      <c r="O11" s="52"/>
    </row>
    <row r="12" spans="1:18" ht="18.5" x14ac:dyDescent="0.45">
      <c r="B12" s="59"/>
      <c r="C12" s="52"/>
      <c r="E12" s="52"/>
      <c r="F12" s="52"/>
      <c r="G12" s="52"/>
      <c r="H12" s="52"/>
      <c r="I12" s="52"/>
      <c r="J12" s="52"/>
      <c r="K12" s="52"/>
      <c r="L12" s="52"/>
      <c r="M12" s="52"/>
      <c r="N12" s="52"/>
      <c r="O12" s="52"/>
      <c r="Q12" s="72"/>
    </row>
    <row r="13" spans="1:18" s="57" customFormat="1" x14ac:dyDescent="0.35">
      <c r="B13" s="107" t="s">
        <v>510</v>
      </c>
      <c r="C13" s="107"/>
      <c r="D13" s="107"/>
      <c r="E13" s="107"/>
      <c r="F13" s="107"/>
      <c r="G13" s="58">
        <v>6</v>
      </c>
      <c r="H13" s="58">
        <v>7</v>
      </c>
      <c r="I13" s="58">
        <v>8</v>
      </c>
      <c r="J13" s="58">
        <v>9</v>
      </c>
      <c r="K13" s="58">
        <v>10</v>
      </c>
      <c r="L13" s="58">
        <v>11</v>
      </c>
      <c r="M13" s="58">
        <v>12</v>
      </c>
      <c r="R13" s="73"/>
    </row>
    <row r="14" spans="1:18" s="91" customFormat="1" ht="18.5" x14ac:dyDescent="0.45">
      <c r="B14" s="92" t="s">
        <v>509</v>
      </c>
      <c r="C14" s="92" t="s">
        <v>508</v>
      </c>
      <c r="D14" s="92" t="s">
        <v>507</v>
      </c>
      <c r="E14" s="92" t="s">
        <v>506</v>
      </c>
      <c r="F14" s="92" t="s">
        <v>505</v>
      </c>
      <c r="G14" s="92" t="s">
        <v>37</v>
      </c>
      <c r="H14" s="92" t="s">
        <v>504</v>
      </c>
      <c r="I14" s="92" t="s">
        <v>503</v>
      </c>
      <c r="J14" s="92" t="s">
        <v>502</v>
      </c>
      <c r="K14" s="92" t="s">
        <v>501</v>
      </c>
      <c r="L14" s="92" t="s">
        <v>500</v>
      </c>
      <c r="M14" s="92" t="s">
        <v>499</v>
      </c>
      <c r="N14" s="92" t="s">
        <v>498</v>
      </c>
      <c r="O14" s="92"/>
      <c r="Q14" s="93"/>
    </row>
    <row r="15" spans="1:18" ht="18.5" x14ac:dyDescent="0.45">
      <c r="B15" s="55">
        <v>14.02</v>
      </c>
      <c r="C15" s="55">
        <v>12.14</v>
      </c>
      <c r="D15" s="55">
        <v>11.15</v>
      </c>
      <c r="E15" s="55">
        <v>11.16</v>
      </c>
      <c r="F15" s="55">
        <v>10.43</v>
      </c>
      <c r="G15" s="55" t="s">
        <v>248</v>
      </c>
      <c r="H15" s="55">
        <v>5.94</v>
      </c>
      <c r="I15" s="55">
        <v>5.76</v>
      </c>
      <c r="J15" s="55">
        <v>6.43</v>
      </c>
      <c r="K15" s="55">
        <v>7.36</v>
      </c>
      <c r="L15" s="55">
        <v>10.029999999999999</v>
      </c>
      <c r="M15" s="55">
        <v>11.16</v>
      </c>
      <c r="N15" s="55">
        <v>13.38</v>
      </c>
      <c r="Q15" s="56"/>
    </row>
    <row r="16" spans="1:18" ht="18.5" x14ac:dyDescent="0.45">
      <c r="B16" s="55">
        <v>13.65</v>
      </c>
      <c r="C16" s="55">
        <v>12.35</v>
      </c>
      <c r="D16" s="55">
        <v>10.98</v>
      </c>
      <c r="E16" s="55">
        <v>7.44</v>
      </c>
      <c r="F16" s="55">
        <v>5.51</v>
      </c>
      <c r="G16" s="55" t="s">
        <v>235</v>
      </c>
      <c r="H16" s="55">
        <v>3.5</v>
      </c>
      <c r="I16" s="55">
        <v>2.34</v>
      </c>
      <c r="J16" s="55">
        <v>2.67</v>
      </c>
      <c r="K16" s="55">
        <v>4.1500000000000004</v>
      </c>
      <c r="L16" s="55">
        <v>9.81</v>
      </c>
      <c r="M16" s="55">
        <v>14.82</v>
      </c>
      <c r="N16" s="55">
        <v>14.5</v>
      </c>
      <c r="Q16" s="56"/>
    </row>
    <row r="17" spans="2:17" ht="18.5" x14ac:dyDescent="0.45">
      <c r="B17" s="55">
        <v>13.18</v>
      </c>
      <c r="C17" s="55">
        <v>10.99</v>
      </c>
      <c r="D17" s="55">
        <v>11.41</v>
      </c>
      <c r="E17" s="55">
        <v>10.8</v>
      </c>
      <c r="F17" s="55">
        <v>9.7799999999999994</v>
      </c>
      <c r="G17" s="55" t="s">
        <v>496</v>
      </c>
      <c r="H17" s="55">
        <v>7.17</v>
      </c>
      <c r="I17" s="55">
        <v>7.88</v>
      </c>
      <c r="J17" s="55">
        <v>13.27</v>
      </c>
      <c r="K17" s="55">
        <v>20.88</v>
      </c>
      <c r="L17" s="55">
        <v>24</v>
      </c>
      <c r="M17" s="55">
        <v>15.17</v>
      </c>
      <c r="N17" s="55">
        <v>15.85</v>
      </c>
      <c r="Q17" s="56"/>
    </row>
    <row r="18" spans="2:17" x14ac:dyDescent="0.35">
      <c r="B18" s="55">
        <v>12.52</v>
      </c>
      <c r="C18" s="55">
        <v>9.7799999999999994</v>
      </c>
      <c r="D18" s="55">
        <v>13.96</v>
      </c>
      <c r="E18" s="55">
        <v>16.940000000000001</v>
      </c>
      <c r="F18" s="55">
        <v>19.41</v>
      </c>
      <c r="G18" s="55" t="s">
        <v>241</v>
      </c>
      <c r="H18" s="55">
        <v>17.059999999999999</v>
      </c>
      <c r="I18" s="55">
        <v>16.72</v>
      </c>
      <c r="J18" s="55">
        <v>16.37</v>
      </c>
      <c r="K18" s="55">
        <v>14.94</v>
      </c>
      <c r="L18" s="55">
        <v>16.3</v>
      </c>
      <c r="M18" s="55">
        <v>14.74</v>
      </c>
      <c r="N18" s="55">
        <v>15.87</v>
      </c>
    </row>
    <row r="19" spans="2:17" x14ac:dyDescent="0.35">
      <c r="B19" s="55">
        <v>11.2</v>
      </c>
      <c r="C19" s="55">
        <v>9.65</v>
      </c>
      <c r="D19" s="55">
        <v>8.7899999999999991</v>
      </c>
      <c r="E19" s="55">
        <v>9.4499999999999993</v>
      </c>
      <c r="F19" s="55">
        <v>11.27</v>
      </c>
      <c r="G19" s="55" t="s">
        <v>285</v>
      </c>
      <c r="H19" s="55">
        <v>17.54</v>
      </c>
      <c r="I19" s="55">
        <v>16.989999999999998</v>
      </c>
      <c r="J19" s="55">
        <v>14.47</v>
      </c>
      <c r="K19" s="55">
        <v>11.65</v>
      </c>
      <c r="L19" s="55">
        <v>13.41</v>
      </c>
      <c r="M19" s="55">
        <v>11.62</v>
      </c>
      <c r="N19" s="55">
        <v>12.33</v>
      </c>
    </row>
    <row r="20" spans="2:17" x14ac:dyDescent="0.35">
      <c r="B20" s="55">
        <v>9.74</v>
      </c>
      <c r="C20" s="55">
        <v>8.86</v>
      </c>
      <c r="D20" s="55">
        <v>14.35</v>
      </c>
      <c r="E20" s="55">
        <v>12.54</v>
      </c>
      <c r="F20" s="55">
        <v>8.07</v>
      </c>
      <c r="G20" s="55" t="s">
        <v>298</v>
      </c>
      <c r="H20" s="55">
        <v>7.36</v>
      </c>
      <c r="I20" s="55">
        <v>10.71</v>
      </c>
      <c r="J20" s="55">
        <v>9.7799999999999994</v>
      </c>
      <c r="K20" s="55">
        <v>9.14</v>
      </c>
      <c r="L20" s="55">
        <v>9.64</v>
      </c>
      <c r="M20" s="55">
        <v>15.58</v>
      </c>
      <c r="N20" s="55">
        <v>10.5</v>
      </c>
    </row>
    <row r="21" spans="2:17" x14ac:dyDescent="0.35">
      <c r="B21" s="55">
        <v>9.67</v>
      </c>
      <c r="C21" s="55">
        <v>8.0500000000000007</v>
      </c>
      <c r="D21" s="55">
        <v>7.96</v>
      </c>
      <c r="E21" s="55">
        <v>7.37</v>
      </c>
      <c r="F21" s="55">
        <v>5.73</v>
      </c>
      <c r="G21" s="55" t="s">
        <v>495</v>
      </c>
      <c r="H21" s="55">
        <v>4.72</v>
      </c>
      <c r="I21" s="55">
        <v>4.26</v>
      </c>
      <c r="J21" s="55">
        <v>6.12</v>
      </c>
      <c r="K21" s="55">
        <v>9.49</v>
      </c>
      <c r="L21" s="55">
        <v>13.86</v>
      </c>
      <c r="M21" s="55">
        <v>12.21</v>
      </c>
      <c r="N21" s="55">
        <v>11.39</v>
      </c>
    </row>
    <row r="22" spans="2:17" x14ac:dyDescent="0.35">
      <c r="B22" s="55">
        <v>9.6199999999999992</v>
      </c>
      <c r="C22" s="55">
        <v>7.87</v>
      </c>
      <c r="D22" s="55">
        <v>7.37</v>
      </c>
      <c r="E22" s="55">
        <v>4.93</v>
      </c>
      <c r="F22" s="55">
        <v>3.28</v>
      </c>
      <c r="G22" s="55" t="s">
        <v>494</v>
      </c>
      <c r="H22" s="55">
        <v>2.57</v>
      </c>
      <c r="I22" s="55">
        <v>1.1599999999999999</v>
      </c>
      <c r="J22" s="55">
        <v>1.21</v>
      </c>
      <c r="K22" s="55">
        <v>2.61</v>
      </c>
      <c r="L22" s="55">
        <v>5.61</v>
      </c>
      <c r="M22" s="55">
        <v>10.5</v>
      </c>
      <c r="N22" s="55">
        <v>10.4</v>
      </c>
      <c r="Q22" s="74"/>
    </row>
    <row r="23" spans="2:17" ht="18.5" x14ac:dyDescent="0.45">
      <c r="B23" s="55">
        <v>8.58</v>
      </c>
      <c r="C23" s="55">
        <v>8.77</v>
      </c>
      <c r="D23" s="55">
        <v>8.15</v>
      </c>
      <c r="E23" s="55">
        <v>10.94</v>
      </c>
      <c r="F23" s="55">
        <v>11.29</v>
      </c>
      <c r="G23" s="55" t="s">
        <v>335</v>
      </c>
      <c r="H23" s="55">
        <v>12.82</v>
      </c>
      <c r="I23" s="55">
        <v>12.45</v>
      </c>
      <c r="J23" s="55">
        <v>15.09</v>
      </c>
      <c r="K23" s="55">
        <v>13.12</v>
      </c>
      <c r="L23" s="55">
        <v>10.69</v>
      </c>
      <c r="M23" s="55">
        <v>11.09</v>
      </c>
      <c r="N23" s="55">
        <v>10.98</v>
      </c>
      <c r="Q23" s="72"/>
    </row>
    <row r="24" spans="2:17" x14ac:dyDescent="0.35">
      <c r="B24" s="55">
        <v>8.52</v>
      </c>
      <c r="C24" s="55">
        <v>7.33</v>
      </c>
      <c r="D24" s="55">
        <v>9.42</v>
      </c>
      <c r="E24" s="55">
        <v>8.43</v>
      </c>
      <c r="F24" s="55">
        <v>8.2100000000000009</v>
      </c>
      <c r="G24" s="55" t="s">
        <v>259</v>
      </c>
      <c r="H24" s="55">
        <v>8.36</v>
      </c>
      <c r="I24" s="55">
        <v>8.02</v>
      </c>
      <c r="J24" s="55">
        <v>8.08</v>
      </c>
      <c r="K24" s="55">
        <v>8.5500000000000007</v>
      </c>
      <c r="L24" s="55">
        <v>7.66</v>
      </c>
      <c r="M24" s="55">
        <v>10.49</v>
      </c>
      <c r="N24" s="55">
        <v>8.84</v>
      </c>
    </row>
    <row r="25" spans="2:17" ht="18.5" x14ac:dyDescent="0.45">
      <c r="B25" s="55">
        <v>8.17</v>
      </c>
      <c r="C25" s="55">
        <v>5.72</v>
      </c>
      <c r="D25" s="55">
        <v>5.22</v>
      </c>
      <c r="E25" s="55">
        <v>5.48</v>
      </c>
      <c r="F25" s="55">
        <v>6.31</v>
      </c>
      <c r="G25" s="55" t="s">
        <v>493</v>
      </c>
      <c r="H25" s="55">
        <v>5.38</v>
      </c>
      <c r="I25" s="55">
        <v>4.12</v>
      </c>
      <c r="J25" s="55">
        <v>4.4800000000000004</v>
      </c>
      <c r="K25" s="55">
        <v>7.84</v>
      </c>
      <c r="L25" s="55">
        <v>8.36</v>
      </c>
      <c r="M25" s="55">
        <v>6.63</v>
      </c>
      <c r="N25" s="55">
        <v>7.64</v>
      </c>
      <c r="Q25" s="56"/>
    </row>
    <row r="26" spans="2:17" ht="18.5" x14ac:dyDescent="0.45">
      <c r="B26" s="55">
        <v>8.09</v>
      </c>
      <c r="C26" s="55">
        <v>6.86</v>
      </c>
      <c r="D26" s="55">
        <v>8.43</v>
      </c>
      <c r="E26" s="55">
        <v>11.3</v>
      </c>
      <c r="F26" s="55">
        <v>11.53</v>
      </c>
      <c r="G26" s="55" t="s">
        <v>271</v>
      </c>
      <c r="H26" s="55">
        <v>11.09</v>
      </c>
      <c r="I26" s="55">
        <v>12.41</v>
      </c>
      <c r="J26" s="55">
        <v>11.95</v>
      </c>
      <c r="K26" s="55">
        <v>11.96</v>
      </c>
      <c r="L26" s="55">
        <v>13.73</v>
      </c>
      <c r="M26" s="55">
        <v>12.81</v>
      </c>
      <c r="N26" s="55">
        <v>11.5</v>
      </c>
      <c r="Q26" s="56"/>
    </row>
    <row r="27" spans="2:17" ht="18.5" x14ac:dyDescent="0.45">
      <c r="B27" s="55">
        <v>7.65</v>
      </c>
      <c r="C27" s="55">
        <v>6.35</v>
      </c>
      <c r="D27" s="55">
        <v>5.8</v>
      </c>
      <c r="E27" s="55">
        <v>3.66</v>
      </c>
      <c r="F27" s="55">
        <v>2.66</v>
      </c>
      <c r="G27" s="55" t="s">
        <v>492</v>
      </c>
      <c r="H27" s="55">
        <v>1.53</v>
      </c>
      <c r="I27" s="55">
        <v>0.64</v>
      </c>
      <c r="J27" s="55">
        <v>0.99</v>
      </c>
      <c r="K27" s="55">
        <v>1.54</v>
      </c>
      <c r="L27" s="55">
        <v>3.35</v>
      </c>
      <c r="M27" s="55">
        <v>8.44</v>
      </c>
      <c r="N27" s="55">
        <v>8.2899999999999991</v>
      </c>
      <c r="Q27" s="56"/>
    </row>
    <row r="28" spans="2:17" x14ac:dyDescent="0.35">
      <c r="B28" s="55">
        <v>7.54</v>
      </c>
      <c r="C28" s="55">
        <v>6.17</v>
      </c>
      <c r="D28" s="55">
        <v>5.29</v>
      </c>
      <c r="E28" s="55">
        <v>3.58</v>
      </c>
      <c r="F28" s="55">
        <v>2.27</v>
      </c>
      <c r="G28" s="55" t="s">
        <v>491</v>
      </c>
      <c r="H28" s="55">
        <v>1.78</v>
      </c>
      <c r="I28" s="55">
        <v>0.82</v>
      </c>
      <c r="J28" s="55">
        <v>1.1000000000000001</v>
      </c>
      <c r="K28" s="55">
        <v>2.0299999999999998</v>
      </c>
      <c r="L28" s="55">
        <v>4.1900000000000004</v>
      </c>
      <c r="M28" s="55">
        <v>8.1300000000000008</v>
      </c>
      <c r="N28" s="55">
        <v>7.89</v>
      </c>
    </row>
    <row r="29" spans="2:17" x14ac:dyDescent="0.35">
      <c r="B29" s="55">
        <v>7.24</v>
      </c>
      <c r="C29" s="55">
        <v>5.45</v>
      </c>
      <c r="D29" s="55">
        <v>6.14</v>
      </c>
      <c r="E29" s="55">
        <v>5.58</v>
      </c>
      <c r="F29" s="55">
        <v>8.15</v>
      </c>
      <c r="G29" s="55" t="s">
        <v>196</v>
      </c>
      <c r="H29" s="55">
        <v>13.46</v>
      </c>
      <c r="I29" s="55">
        <v>13.25</v>
      </c>
      <c r="J29" s="55">
        <v>14.41</v>
      </c>
      <c r="K29" s="55">
        <v>13.53</v>
      </c>
      <c r="L29" s="55">
        <v>12.25</v>
      </c>
      <c r="M29" s="55">
        <v>8.82</v>
      </c>
      <c r="N29" s="55">
        <v>9.34</v>
      </c>
    </row>
    <row r="30" spans="2:17" x14ac:dyDescent="0.35">
      <c r="B30" s="55">
        <v>7.06</v>
      </c>
      <c r="C30" s="55">
        <v>6.45</v>
      </c>
      <c r="D30" s="55">
        <v>5.81</v>
      </c>
      <c r="E30" s="55">
        <v>2.65</v>
      </c>
      <c r="F30" s="55">
        <v>1.87</v>
      </c>
      <c r="G30" s="55" t="s">
        <v>490</v>
      </c>
      <c r="H30" s="55">
        <v>0.99</v>
      </c>
      <c r="I30" s="55">
        <v>0.39</v>
      </c>
      <c r="J30" s="55">
        <v>0.43</v>
      </c>
      <c r="K30" s="55">
        <v>0.87</v>
      </c>
      <c r="L30" s="55">
        <v>2.21</v>
      </c>
      <c r="M30" s="55">
        <v>5.08</v>
      </c>
      <c r="N30" s="55">
        <v>5.35</v>
      </c>
    </row>
    <row r="31" spans="2:17" x14ac:dyDescent="0.35">
      <c r="B31" s="55">
        <v>6.5</v>
      </c>
      <c r="C31" s="55">
        <v>5.49</v>
      </c>
      <c r="D31" s="55">
        <v>5.15</v>
      </c>
      <c r="E31" s="55">
        <v>2.4</v>
      </c>
      <c r="F31" s="55">
        <v>1.66</v>
      </c>
      <c r="G31" s="55" t="s">
        <v>232</v>
      </c>
      <c r="H31" s="55">
        <v>0.69</v>
      </c>
      <c r="I31" s="55">
        <v>0.05</v>
      </c>
      <c r="J31" s="55">
        <v>0.22</v>
      </c>
      <c r="K31" s="55">
        <v>0.48</v>
      </c>
      <c r="L31" s="55">
        <v>2.1800000000000002</v>
      </c>
      <c r="M31" s="55">
        <v>4.03</v>
      </c>
      <c r="N31" s="55">
        <v>4.67</v>
      </c>
    </row>
    <row r="32" spans="2:17" x14ac:dyDescent="0.35">
      <c r="B32" s="55">
        <v>6.19</v>
      </c>
      <c r="C32" s="55">
        <v>5.0999999999999996</v>
      </c>
      <c r="D32" s="55">
        <v>5.07</v>
      </c>
      <c r="E32" s="55">
        <v>5.56</v>
      </c>
      <c r="F32" s="55">
        <v>5.34</v>
      </c>
      <c r="G32" s="55" t="s">
        <v>489</v>
      </c>
      <c r="H32" s="55">
        <v>5.33</v>
      </c>
      <c r="I32" s="55">
        <v>5.96</v>
      </c>
      <c r="J32" s="55">
        <v>5.86</v>
      </c>
      <c r="K32" s="55">
        <v>4.84</v>
      </c>
      <c r="L32" s="55">
        <v>3.81</v>
      </c>
      <c r="M32" s="55">
        <v>4.76</v>
      </c>
      <c r="N32" s="55">
        <v>5.26</v>
      </c>
    </row>
    <row r="33" spans="2:14" x14ac:dyDescent="0.35">
      <c r="B33" s="55">
        <v>6.02</v>
      </c>
      <c r="C33" s="55">
        <v>5.53</v>
      </c>
      <c r="D33" s="55">
        <v>4.49</v>
      </c>
      <c r="E33" s="55">
        <v>3.55</v>
      </c>
      <c r="F33" s="55">
        <v>3.08</v>
      </c>
      <c r="G33" s="55" t="s">
        <v>488</v>
      </c>
      <c r="H33" s="55">
        <v>3.01</v>
      </c>
      <c r="I33" s="55">
        <v>3.84</v>
      </c>
      <c r="J33" s="55">
        <v>6.62</v>
      </c>
      <c r="K33" s="55">
        <v>9.59</v>
      </c>
      <c r="L33" s="55">
        <v>8.58</v>
      </c>
      <c r="M33" s="55">
        <v>5.51</v>
      </c>
      <c r="N33" s="55">
        <v>7.59</v>
      </c>
    </row>
    <row r="34" spans="2:14" x14ac:dyDescent="0.35">
      <c r="B34" s="55">
        <v>5.97</v>
      </c>
      <c r="C34" s="55">
        <v>5.51</v>
      </c>
      <c r="D34" s="55">
        <v>5.55</v>
      </c>
      <c r="E34" s="55">
        <v>2.91</v>
      </c>
      <c r="F34" s="55">
        <v>1.62</v>
      </c>
      <c r="G34" s="55" t="s">
        <v>317</v>
      </c>
      <c r="H34" s="55">
        <v>0.65</v>
      </c>
      <c r="I34" s="55">
        <v>0.16</v>
      </c>
      <c r="J34" s="55">
        <v>0.38</v>
      </c>
      <c r="K34" s="55">
        <v>0.86</v>
      </c>
      <c r="L34" s="55">
        <v>2.36</v>
      </c>
      <c r="M34" s="55">
        <v>5.78</v>
      </c>
      <c r="N34" s="55">
        <v>6.35</v>
      </c>
    </row>
    <row r="35" spans="2:14" x14ac:dyDescent="0.35">
      <c r="B35" s="55">
        <v>5.92</v>
      </c>
      <c r="C35" s="55">
        <v>5.35</v>
      </c>
      <c r="D35" s="55">
        <v>6.93</v>
      </c>
      <c r="E35" s="55">
        <v>5.62</v>
      </c>
      <c r="F35" s="55">
        <v>4.87</v>
      </c>
      <c r="G35" s="55" t="s">
        <v>487</v>
      </c>
      <c r="H35" s="55">
        <v>3.99</v>
      </c>
      <c r="I35" s="55">
        <v>5.45</v>
      </c>
      <c r="J35" s="55">
        <v>3.34</v>
      </c>
      <c r="K35" s="55">
        <v>3.64</v>
      </c>
      <c r="L35" s="55">
        <v>3.28</v>
      </c>
      <c r="M35" s="55">
        <v>4.95</v>
      </c>
      <c r="N35" s="55">
        <v>5.31</v>
      </c>
    </row>
    <row r="36" spans="2:14" x14ac:dyDescent="0.35">
      <c r="B36" s="55">
        <v>5.87</v>
      </c>
      <c r="C36" s="55">
        <v>5.47</v>
      </c>
      <c r="D36" s="55">
        <v>5.24</v>
      </c>
      <c r="E36" s="55">
        <v>5.0199999999999996</v>
      </c>
      <c r="F36" s="55">
        <v>4.62</v>
      </c>
      <c r="G36" s="55" t="s">
        <v>257</v>
      </c>
      <c r="H36" s="55">
        <v>6.83</v>
      </c>
      <c r="I36" s="55">
        <v>6.2</v>
      </c>
      <c r="J36" s="55">
        <v>6.15</v>
      </c>
      <c r="K36" s="55">
        <v>5.55</v>
      </c>
      <c r="L36" s="55">
        <v>3.05</v>
      </c>
      <c r="M36" s="55">
        <v>5.09</v>
      </c>
      <c r="N36" s="55">
        <v>5.07</v>
      </c>
    </row>
    <row r="37" spans="2:14" x14ac:dyDescent="0.35">
      <c r="B37" s="55">
        <v>5.84</v>
      </c>
      <c r="C37" s="55">
        <v>3.94</v>
      </c>
      <c r="D37" s="55">
        <v>4.95</v>
      </c>
      <c r="E37" s="55">
        <v>3.29</v>
      </c>
      <c r="F37" s="55">
        <v>3.92</v>
      </c>
      <c r="G37" s="55" t="s">
        <v>341</v>
      </c>
      <c r="H37" s="55">
        <v>3.82</v>
      </c>
      <c r="I37" s="55">
        <v>4.95</v>
      </c>
      <c r="J37" s="55">
        <v>6.56</v>
      </c>
      <c r="K37" s="55">
        <v>5.68</v>
      </c>
      <c r="L37" s="55">
        <v>5.31</v>
      </c>
      <c r="M37" s="55">
        <v>4.93</v>
      </c>
      <c r="N37" s="55">
        <v>4.5599999999999996</v>
      </c>
    </row>
    <row r="38" spans="2:14" x14ac:dyDescent="0.35">
      <c r="B38" s="55">
        <v>5.84</v>
      </c>
      <c r="C38" s="55">
        <v>5.09</v>
      </c>
      <c r="D38" s="55">
        <v>4.17</v>
      </c>
      <c r="E38" s="55">
        <v>2.76</v>
      </c>
      <c r="F38" s="55">
        <v>2.13</v>
      </c>
      <c r="G38" s="55" t="s">
        <v>486</v>
      </c>
      <c r="H38" s="55">
        <v>1.45</v>
      </c>
      <c r="I38" s="55">
        <v>0.56999999999999995</v>
      </c>
      <c r="J38" s="55">
        <v>0.68</v>
      </c>
      <c r="K38" s="55">
        <v>1.43</v>
      </c>
      <c r="L38" s="55">
        <v>3.03</v>
      </c>
      <c r="M38" s="55">
        <v>6.39</v>
      </c>
      <c r="N38" s="55">
        <v>6.46</v>
      </c>
    </row>
    <row r="39" spans="2:14" x14ac:dyDescent="0.35">
      <c r="B39" s="55">
        <v>5.75</v>
      </c>
      <c r="C39" s="55">
        <v>5.0999999999999996</v>
      </c>
      <c r="D39" s="55">
        <v>7.2</v>
      </c>
      <c r="E39" s="55">
        <v>5.0599999999999996</v>
      </c>
      <c r="F39" s="55">
        <v>6.1</v>
      </c>
      <c r="G39" s="55" t="s">
        <v>485</v>
      </c>
      <c r="H39" s="55">
        <v>5.01</v>
      </c>
      <c r="I39" s="55">
        <v>6.54</v>
      </c>
      <c r="J39" s="55">
        <v>6.2</v>
      </c>
      <c r="K39" s="55">
        <v>6.01</v>
      </c>
      <c r="L39" s="55">
        <v>3.25</v>
      </c>
      <c r="M39" s="55">
        <v>5.41</v>
      </c>
      <c r="N39" s="55">
        <v>4.66</v>
      </c>
    </row>
    <row r="40" spans="2:14" x14ac:dyDescent="0.35">
      <c r="B40" s="55">
        <v>5.69</v>
      </c>
      <c r="C40" s="55">
        <v>3.35</v>
      </c>
      <c r="D40" s="55">
        <v>3.75</v>
      </c>
      <c r="E40" s="55">
        <v>3.84</v>
      </c>
      <c r="F40" s="55">
        <v>5.83</v>
      </c>
      <c r="G40" s="55" t="s">
        <v>240</v>
      </c>
      <c r="H40" s="55">
        <v>6.58</v>
      </c>
      <c r="I40" s="55">
        <v>5.23</v>
      </c>
      <c r="J40" s="55">
        <v>4.8499999999999996</v>
      </c>
      <c r="K40" s="55">
        <v>6.1</v>
      </c>
      <c r="L40" s="55">
        <v>4.67</v>
      </c>
      <c r="M40" s="55">
        <v>4.75</v>
      </c>
      <c r="N40" s="55">
        <v>5.25</v>
      </c>
    </row>
    <row r="41" spans="2:14" x14ac:dyDescent="0.35">
      <c r="B41" s="55">
        <v>5.67</v>
      </c>
      <c r="C41" s="55">
        <v>4.5</v>
      </c>
      <c r="D41" s="55">
        <v>5.74</v>
      </c>
      <c r="E41" s="55">
        <v>5.98</v>
      </c>
      <c r="F41" s="55">
        <v>4.8600000000000003</v>
      </c>
      <c r="G41" s="55" t="s">
        <v>293</v>
      </c>
      <c r="H41" s="55">
        <v>3.82</v>
      </c>
      <c r="I41" s="55">
        <v>4.6900000000000004</v>
      </c>
      <c r="J41" s="55">
        <v>3.66</v>
      </c>
      <c r="K41" s="55">
        <v>3.23</v>
      </c>
      <c r="L41" s="55">
        <v>3.42</v>
      </c>
      <c r="M41" s="55">
        <v>5.04</v>
      </c>
      <c r="N41" s="55">
        <v>5.34</v>
      </c>
    </row>
    <row r="42" spans="2:14" x14ac:dyDescent="0.35">
      <c r="B42" s="55">
        <v>5.58</v>
      </c>
      <c r="C42" s="55">
        <v>5.1100000000000003</v>
      </c>
      <c r="D42" s="55">
        <v>4.24</v>
      </c>
      <c r="E42" s="55">
        <v>4.16</v>
      </c>
      <c r="F42" s="55">
        <v>6.39</v>
      </c>
      <c r="G42" s="55" t="s">
        <v>302</v>
      </c>
      <c r="H42" s="55">
        <v>6.28</v>
      </c>
      <c r="I42" s="55">
        <v>11.66</v>
      </c>
      <c r="J42" s="55">
        <v>16.170000000000002</v>
      </c>
      <c r="K42" s="55">
        <v>13.69</v>
      </c>
      <c r="L42" s="55">
        <v>11.88</v>
      </c>
      <c r="M42" s="55">
        <v>9.34</v>
      </c>
      <c r="N42" s="55">
        <v>6.11</v>
      </c>
    </row>
    <row r="43" spans="2:14" x14ac:dyDescent="0.35">
      <c r="B43" s="55">
        <v>5.52</v>
      </c>
      <c r="C43" s="55">
        <v>4.95</v>
      </c>
      <c r="D43" s="55">
        <v>6.68</v>
      </c>
      <c r="E43" s="55">
        <v>4.54</v>
      </c>
      <c r="F43" s="55">
        <v>5.24</v>
      </c>
      <c r="G43" s="55" t="s">
        <v>484</v>
      </c>
      <c r="H43" s="55">
        <v>4.22</v>
      </c>
      <c r="I43" s="55">
        <v>4.4000000000000004</v>
      </c>
      <c r="J43" s="55">
        <v>3.32</v>
      </c>
      <c r="K43" s="55">
        <v>4.29</v>
      </c>
      <c r="L43" s="55">
        <v>3.54</v>
      </c>
      <c r="M43" s="55">
        <v>5.22</v>
      </c>
      <c r="N43" s="55">
        <v>5.59</v>
      </c>
    </row>
    <row r="44" spans="2:14" x14ac:dyDescent="0.35">
      <c r="B44" s="55">
        <v>5.52</v>
      </c>
      <c r="C44" s="55">
        <v>3.28</v>
      </c>
      <c r="D44" s="55">
        <v>3.54</v>
      </c>
      <c r="E44" s="55">
        <v>3.64</v>
      </c>
      <c r="F44" s="55">
        <v>6.06</v>
      </c>
      <c r="G44" s="55" t="s">
        <v>284</v>
      </c>
      <c r="H44" s="55">
        <v>6.07</v>
      </c>
      <c r="I44" s="55">
        <v>5.12</v>
      </c>
      <c r="J44" s="55">
        <v>4.8499999999999996</v>
      </c>
      <c r="K44" s="55">
        <v>5.95</v>
      </c>
      <c r="L44" s="55">
        <v>3.94</v>
      </c>
      <c r="M44" s="55">
        <v>4.6100000000000003</v>
      </c>
      <c r="N44" s="55">
        <v>4.5999999999999996</v>
      </c>
    </row>
    <row r="45" spans="2:14" x14ac:dyDescent="0.35">
      <c r="B45" s="55">
        <v>5.45</v>
      </c>
      <c r="C45" s="55">
        <v>4.21</v>
      </c>
      <c r="D45" s="55">
        <v>6.1</v>
      </c>
      <c r="E45" s="55">
        <v>4.67</v>
      </c>
      <c r="F45" s="55">
        <v>4.83</v>
      </c>
      <c r="G45" s="55" t="s">
        <v>351</v>
      </c>
      <c r="H45" s="55">
        <v>3.78</v>
      </c>
      <c r="I45" s="55">
        <v>5.09</v>
      </c>
      <c r="J45" s="55">
        <v>3.48</v>
      </c>
      <c r="K45" s="55">
        <v>4.05</v>
      </c>
      <c r="L45" s="55">
        <v>3.23</v>
      </c>
      <c r="M45" s="55">
        <v>4.63</v>
      </c>
      <c r="N45" s="55">
        <v>4.47</v>
      </c>
    </row>
    <row r="46" spans="2:14" x14ac:dyDescent="0.35">
      <c r="B46" s="55">
        <v>5.4</v>
      </c>
      <c r="C46" s="55">
        <v>4.8499999999999996</v>
      </c>
      <c r="D46" s="55">
        <v>6.19</v>
      </c>
      <c r="E46" s="55">
        <v>4.2300000000000004</v>
      </c>
      <c r="F46" s="55">
        <v>4.28</v>
      </c>
      <c r="G46" s="55" t="s">
        <v>338</v>
      </c>
      <c r="H46" s="55">
        <v>3.99</v>
      </c>
      <c r="I46" s="55">
        <v>4.7300000000000004</v>
      </c>
      <c r="J46" s="55">
        <v>3.59</v>
      </c>
      <c r="K46" s="55">
        <v>4.3099999999999996</v>
      </c>
      <c r="L46" s="55">
        <v>3.26</v>
      </c>
      <c r="M46" s="55">
        <v>4.88</v>
      </c>
      <c r="N46" s="55">
        <v>4.8099999999999996</v>
      </c>
    </row>
    <row r="47" spans="2:14" x14ac:dyDescent="0.35">
      <c r="B47" s="55">
        <v>5.36</v>
      </c>
      <c r="C47" s="55">
        <v>4.63</v>
      </c>
      <c r="D47" s="55">
        <v>6.47</v>
      </c>
      <c r="E47" s="55">
        <v>3.59</v>
      </c>
      <c r="F47" s="55">
        <v>4.95</v>
      </c>
      <c r="G47" s="55" t="s">
        <v>483</v>
      </c>
      <c r="H47" s="55">
        <v>6.92</v>
      </c>
      <c r="I47" s="55">
        <v>8.0399999999999991</v>
      </c>
      <c r="J47" s="55">
        <v>7.03</v>
      </c>
      <c r="K47" s="55">
        <v>5.01</v>
      </c>
      <c r="L47" s="55">
        <v>3.25</v>
      </c>
      <c r="M47" s="55">
        <v>3.86</v>
      </c>
      <c r="N47" s="55">
        <v>4.0999999999999996</v>
      </c>
    </row>
    <row r="48" spans="2:14" x14ac:dyDescent="0.35">
      <c r="B48" s="55">
        <v>5.34</v>
      </c>
      <c r="C48" s="55">
        <v>4.68</v>
      </c>
      <c r="D48" s="55">
        <v>6.4</v>
      </c>
      <c r="E48" s="55">
        <v>3.89</v>
      </c>
      <c r="F48" s="55">
        <v>4.4000000000000004</v>
      </c>
      <c r="G48" s="55" t="s">
        <v>247</v>
      </c>
      <c r="H48" s="55">
        <v>6.39</v>
      </c>
      <c r="I48" s="55">
        <v>8.02</v>
      </c>
      <c r="J48" s="55">
        <v>6.85</v>
      </c>
      <c r="K48" s="55">
        <v>5.75</v>
      </c>
      <c r="L48" s="55">
        <v>4.13</v>
      </c>
      <c r="M48" s="55">
        <v>4.46</v>
      </c>
      <c r="N48" s="55">
        <v>3.97</v>
      </c>
    </row>
    <row r="49" spans="2:14" x14ac:dyDescent="0.35">
      <c r="B49" s="55">
        <v>5.24</v>
      </c>
      <c r="C49" s="55">
        <v>4.09</v>
      </c>
      <c r="D49" s="55">
        <v>3.92</v>
      </c>
      <c r="E49" s="55">
        <v>2.75</v>
      </c>
      <c r="F49" s="55">
        <v>2.0299999999999998</v>
      </c>
      <c r="G49" s="55" t="s">
        <v>219</v>
      </c>
      <c r="H49" s="55">
        <v>1.55</v>
      </c>
      <c r="I49" s="55">
        <v>0.93</v>
      </c>
      <c r="J49" s="55">
        <v>1.1599999999999999</v>
      </c>
      <c r="K49" s="55">
        <v>1.61</v>
      </c>
      <c r="L49" s="55">
        <v>3.24</v>
      </c>
      <c r="M49" s="55">
        <v>5.67</v>
      </c>
      <c r="N49" s="55">
        <v>6.06</v>
      </c>
    </row>
    <row r="50" spans="2:14" x14ac:dyDescent="0.35">
      <c r="B50" s="55">
        <v>5.14</v>
      </c>
      <c r="C50" s="55">
        <v>4.68</v>
      </c>
      <c r="D50" s="55">
        <v>6.3</v>
      </c>
      <c r="E50" s="55">
        <v>4.9400000000000004</v>
      </c>
      <c r="F50" s="55">
        <v>5.8</v>
      </c>
      <c r="G50" s="55" t="s">
        <v>204</v>
      </c>
      <c r="H50" s="55">
        <v>4.82</v>
      </c>
      <c r="I50" s="55">
        <v>3.65</v>
      </c>
      <c r="J50" s="55">
        <v>2.67</v>
      </c>
      <c r="K50" s="55">
        <v>3.35</v>
      </c>
      <c r="L50" s="55">
        <v>3.38</v>
      </c>
      <c r="M50" s="55">
        <v>5.01</v>
      </c>
      <c r="N50" s="55">
        <v>6.12</v>
      </c>
    </row>
    <row r="51" spans="2:14" x14ac:dyDescent="0.35">
      <c r="B51" s="55">
        <v>5.13</v>
      </c>
      <c r="C51" s="55">
        <v>4.5</v>
      </c>
      <c r="D51" s="55">
        <v>5.72</v>
      </c>
      <c r="E51" s="55">
        <v>4.32</v>
      </c>
      <c r="F51" s="55">
        <v>5.14</v>
      </c>
      <c r="G51" s="55" t="s">
        <v>482</v>
      </c>
      <c r="H51" s="55">
        <v>4.6399999999999997</v>
      </c>
      <c r="I51" s="55">
        <v>5.16</v>
      </c>
      <c r="J51" s="55">
        <v>3.39</v>
      </c>
      <c r="K51" s="55">
        <v>3.75</v>
      </c>
      <c r="L51" s="55">
        <v>3.02</v>
      </c>
      <c r="M51" s="55">
        <v>4.8600000000000003</v>
      </c>
      <c r="N51" s="55">
        <v>5.42</v>
      </c>
    </row>
    <row r="52" spans="2:14" x14ac:dyDescent="0.35">
      <c r="B52" s="55">
        <v>5.13</v>
      </c>
      <c r="C52" s="55">
        <v>4.18</v>
      </c>
      <c r="D52" s="55">
        <v>3.75</v>
      </c>
      <c r="E52" s="55">
        <v>2.59</v>
      </c>
      <c r="F52" s="55">
        <v>1.77</v>
      </c>
      <c r="G52" s="55" t="s">
        <v>218</v>
      </c>
      <c r="H52" s="55">
        <v>1.49</v>
      </c>
      <c r="I52" s="55">
        <v>0.79</v>
      </c>
      <c r="J52" s="55">
        <v>1.02</v>
      </c>
      <c r="K52" s="55">
        <v>1.63</v>
      </c>
      <c r="L52" s="55">
        <v>3.19</v>
      </c>
      <c r="M52" s="55">
        <v>5.9</v>
      </c>
      <c r="N52" s="55">
        <v>5.62</v>
      </c>
    </row>
    <row r="53" spans="2:14" x14ac:dyDescent="0.35">
      <c r="B53" s="55">
        <v>5.12</v>
      </c>
      <c r="C53" s="55">
        <v>3.73</v>
      </c>
      <c r="D53" s="55">
        <v>3.82</v>
      </c>
      <c r="E53" s="55">
        <v>7.63</v>
      </c>
      <c r="F53" s="55">
        <v>8.6199999999999992</v>
      </c>
      <c r="G53" s="55" t="s">
        <v>481</v>
      </c>
      <c r="H53" s="55">
        <v>8.86</v>
      </c>
      <c r="I53" s="55">
        <v>10.24</v>
      </c>
      <c r="J53" s="55">
        <v>10.42</v>
      </c>
      <c r="K53" s="55">
        <v>11.82</v>
      </c>
      <c r="L53" s="55">
        <v>11.46</v>
      </c>
      <c r="M53" s="55">
        <v>10.74</v>
      </c>
      <c r="N53" s="55">
        <v>7.94</v>
      </c>
    </row>
    <row r="54" spans="2:14" x14ac:dyDescent="0.35">
      <c r="B54" s="55">
        <v>5.07</v>
      </c>
      <c r="C54" s="55">
        <v>4.18</v>
      </c>
      <c r="D54" s="55">
        <v>3.71</v>
      </c>
      <c r="E54" s="55">
        <v>2.64</v>
      </c>
      <c r="F54" s="55">
        <v>2.38</v>
      </c>
      <c r="G54" s="55" t="s">
        <v>238</v>
      </c>
      <c r="H54" s="55">
        <v>1.59</v>
      </c>
      <c r="I54" s="55">
        <v>0.72</v>
      </c>
      <c r="J54" s="55">
        <v>0.93</v>
      </c>
      <c r="K54" s="55">
        <v>1.65</v>
      </c>
      <c r="L54" s="55">
        <v>2.88</v>
      </c>
      <c r="M54" s="55">
        <v>5.61</v>
      </c>
      <c r="N54" s="55">
        <v>5.71</v>
      </c>
    </row>
    <row r="55" spans="2:14" x14ac:dyDescent="0.35">
      <c r="B55" s="55">
        <v>5.04</v>
      </c>
      <c r="C55" s="55">
        <v>5.45</v>
      </c>
      <c r="D55" s="55">
        <v>6.39</v>
      </c>
      <c r="E55" s="55">
        <v>4.38</v>
      </c>
      <c r="F55" s="55">
        <v>4.1399999999999997</v>
      </c>
      <c r="G55" s="55" t="s">
        <v>260</v>
      </c>
      <c r="H55" s="55">
        <v>4.13</v>
      </c>
      <c r="I55" s="55">
        <v>5.31</v>
      </c>
      <c r="J55" s="55">
        <v>3.63</v>
      </c>
      <c r="K55" s="55">
        <v>4.22</v>
      </c>
      <c r="L55" s="55">
        <v>2.58</v>
      </c>
      <c r="M55" s="55">
        <v>4.53</v>
      </c>
      <c r="N55" s="55">
        <v>4.97</v>
      </c>
    </row>
    <row r="56" spans="2:14" x14ac:dyDescent="0.35">
      <c r="B56" s="55">
        <v>5.0199999999999996</v>
      </c>
      <c r="C56" s="55">
        <v>4.68</v>
      </c>
      <c r="D56" s="55">
        <v>5.38</v>
      </c>
      <c r="E56" s="55">
        <v>3.62</v>
      </c>
      <c r="F56" s="55">
        <v>3.95</v>
      </c>
      <c r="G56" s="55" t="s">
        <v>359</v>
      </c>
      <c r="H56" s="55">
        <v>3.63</v>
      </c>
      <c r="I56" s="55">
        <v>5.12</v>
      </c>
      <c r="J56" s="55">
        <v>3.67</v>
      </c>
      <c r="K56" s="55">
        <v>4.09</v>
      </c>
      <c r="L56" s="55">
        <v>3.11</v>
      </c>
      <c r="M56" s="55">
        <v>4.0999999999999996</v>
      </c>
      <c r="N56" s="55">
        <v>3.82</v>
      </c>
    </row>
    <row r="57" spans="2:14" x14ac:dyDescent="0.35">
      <c r="B57" s="55">
        <v>5</v>
      </c>
      <c r="C57" s="55">
        <v>4.55</v>
      </c>
      <c r="D57" s="55">
        <v>4.8899999999999997</v>
      </c>
      <c r="E57" s="55">
        <v>3.14</v>
      </c>
      <c r="F57" s="55">
        <v>2.98</v>
      </c>
      <c r="G57" s="55" t="s">
        <v>273</v>
      </c>
      <c r="H57" s="55">
        <v>3.54</v>
      </c>
      <c r="I57" s="55">
        <v>4.32</v>
      </c>
      <c r="J57" s="55">
        <v>3.79</v>
      </c>
      <c r="K57" s="55">
        <v>3.26</v>
      </c>
      <c r="L57" s="55">
        <v>2.37</v>
      </c>
      <c r="M57" s="55">
        <v>3.22</v>
      </c>
      <c r="N57" s="55">
        <v>3.93</v>
      </c>
    </row>
    <row r="58" spans="2:14" x14ac:dyDescent="0.35">
      <c r="B58" s="55">
        <v>4.87</v>
      </c>
      <c r="C58" s="55">
        <v>3.76</v>
      </c>
      <c r="D58" s="55">
        <v>4.95</v>
      </c>
      <c r="E58" s="55">
        <v>3</v>
      </c>
      <c r="F58" s="55">
        <v>2.62</v>
      </c>
      <c r="G58" s="55" t="s">
        <v>361</v>
      </c>
      <c r="H58" s="55">
        <v>4.3</v>
      </c>
      <c r="I58" s="55">
        <v>7.31</v>
      </c>
      <c r="J58" s="55">
        <v>7.29</v>
      </c>
      <c r="K58" s="55">
        <v>7.1</v>
      </c>
      <c r="L58" s="55">
        <v>4.18</v>
      </c>
      <c r="M58" s="55">
        <v>3.62</v>
      </c>
      <c r="N58" s="55">
        <v>3.51</v>
      </c>
    </row>
    <row r="59" spans="2:14" x14ac:dyDescent="0.35">
      <c r="B59" s="55">
        <v>4.8099999999999996</v>
      </c>
      <c r="C59" s="55">
        <v>4.0199999999999996</v>
      </c>
      <c r="D59" s="55">
        <v>3.51</v>
      </c>
      <c r="E59" s="55">
        <v>2.96</v>
      </c>
      <c r="F59" s="55">
        <v>3.48</v>
      </c>
      <c r="G59" s="55" t="s">
        <v>290</v>
      </c>
      <c r="H59" s="55">
        <v>3.36</v>
      </c>
      <c r="I59" s="55">
        <v>4.1399999999999997</v>
      </c>
      <c r="J59" s="55">
        <v>5.37</v>
      </c>
      <c r="K59" s="55">
        <v>7.54</v>
      </c>
      <c r="L59" s="55">
        <v>8.3000000000000007</v>
      </c>
      <c r="M59" s="55">
        <v>5.43</v>
      </c>
      <c r="N59" s="55">
        <v>5.41</v>
      </c>
    </row>
    <row r="60" spans="2:14" x14ac:dyDescent="0.35">
      <c r="B60" s="55">
        <v>4.78</v>
      </c>
      <c r="C60" s="55">
        <v>4.0599999999999996</v>
      </c>
      <c r="D60" s="55">
        <v>4.79</v>
      </c>
      <c r="E60" s="55">
        <v>4.32</v>
      </c>
      <c r="F60" s="55">
        <v>3.79</v>
      </c>
      <c r="G60" s="55" t="s">
        <v>348</v>
      </c>
      <c r="H60" s="55">
        <v>3.93</v>
      </c>
      <c r="I60" s="55">
        <v>3.74</v>
      </c>
      <c r="J60" s="55">
        <v>4.0599999999999996</v>
      </c>
      <c r="K60" s="55">
        <v>4.13</v>
      </c>
      <c r="L60" s="55">
        <v>4.42</v>
      </c>
      <c r="M60" s="55">
        <v>4.6399999999999997</v>
      </c>
      <c r="N60" s="55">
        <v>4.5599999999999996</v>
      </c>
    </row>
    <row r="61" spans="2:14" x14ac:dyDescent="0.35">
      <c r="B61" s="55">
        <v>4.78</v>
      </c>
      <c r="C61" s="55">
        <v>4.4800000000000004</v>
      </c>
      <c r="D61" s="55">
        <v>5.75</v>
      </c>
      <c r="E61" s="55">
        <v>3.84</v>
      </c>
      <c r="F61" s="55">
        <v>3.62</v>
      </c>
      <c r="G61" s="55" t="s">
        <v>480</v>
      </c>
      <c r="H61" s="55">
        <v>3.51</v>
      </c>
      <c r="I61" s="55">
        <v>5.04</v>
      </c>
      <c r="J61" s="55">
        <v>3.78</v>
      </c>
      <c r="K61" s="55">
        <v>3.07</v>
      </c>
      <c r="L61" s="55">
        <v>2.33</v>
      </c>
      <c r="M61" s="55">
        <v>3.97</v>
      </c>
      <c r="N61" s="55">
        <v>4.4000000000000004</v>
      </c>
    </row>
    <row r="62" spans="2:14" x14ac:dyDescent="0.35">
      <c r="B62" s="55">
        <v>4.72</v>
      </c>
      <c r="C62" s="55">
        <v>4.1500000000000004</v>
      </c>
      <c r="D62" s="55">
        <v>3.4</v>
      </c>
      <c r="E62" s="55">
        <v>1.25</v>
      </c>
      <c r="F62" s="55">
        <v>0.54</v>
      </c>
      <c r="G62" s="55" t="s">
        <v>223</v>
      </c>
      <c r="H62" s="55">
        <v>0.13</v>
      </c>
      <c r="I62" s="55">
        <v>0.04</v>
      </c>
      <c r="J62" s="55">
        <v>0.09</v>
      </c>
      <c r="K62" s="55">
        <v>0.28000000000000003</v>
      </c>
      <c r="L62" s="55">
        <v>1.19</v>
      </c>
      <c r="M62" s="55">
        <v>3.31</v>
      </c>
      <c r="N62" s="55">
        <v>3.18</v>
      </c>
    </row>
    <row r="63" spans="2:14" x14ac:dyDescent="0.35">
      <c r="B63" s="55">
        <v>4.71</v>
      </c>
      <c r="C63" s="55">
        <v>4.29</v>
      </c>
      <c r="D63" s="55">
        <v>3.92</v>
      </c>
      <c r="E63" s="55">
        <v>2.38</v>
      </c>
      <c r="F63" s="55">
        <v>1.35</v>
      </c>
      <c r="G63" s="55" t="s">
        <v>479</v>
      </c>
      <c r="H63" s="55">
        <v>0.94</v>
      </c>
      <c r="I63" s="55">
        <v>0.35</v>
      </c>
      <c r="J63" s="55">
        <v>0.61</v>
      </c>
      <c r="K63" s="55">
        <v>1.2</v>
      </c>
      <c r="L63" s="55">
        <v>2.93</v>
      </c>
      <c r="M63" s="55">
        <v>5.32</v>
      </c>
      <c r="N63" s="55">
        <v>5.18</v>
      </c>
    </row>
    <row r="64" spans="2:14" x14ac:dyDescent="0.35">
      <c r="B64" s="55">
        <v>4.6900000000000004</v>
      </c>
      <c r="C64" s="55">
        <v>4.3899999999999997</v>
      </c>
      <c r="D64" s="55">
        <v>4.99</v>
      </c>
      <c r="E64" s="55">
        <v>3.35</v>
      </c>
      <c r="F64" s="55">
        <v>3.86</v>
      </c>
      <c r="G64" s="55" t="s">
        <v>478</v>
      </c>
      <c r="H64" s="55">
        <v>3.94</v>
      </c>
      <c r="I64" s="55">
        <v>4.41</v>
      </c>
      <c r="J64" s="55">
        <v>3.78</v>
      </c>
      <c r="K64" s="55">
        <v>3.53</v>
      </c>
      <c r="L64" s="55">
        <v>3.47</v>
      </c>
      <c r="M64" s="55">
        <v>3.71</v>
      </c>
      <c r="N64" s="55">
        <v>3.71</v>
      </c>
    </row>
    <row r="65" spans="2:14" x14ac:dyDescent="0.35">
      <c r="B65" s="55">
        <v>4.66</v>
      </c>
      <c r="C65" s="55">
        <v>3.84</v>
      </c>
      <c r="D65" s="55">
        <v>4.59</v>
      </c>
      <c r="E65" s="55">
        <v>2.98</v>
      </c>
      <c r="F65" s="55">
        <v>3.17</v>
      </c>
      <c r="G65" s="55" t="s">
        <v>332</v>
      </c>
      <c r="H65" s="55">
        <v>4.99</v>
      </c>
      <c r="I65" s="55">
        <v>5.54</v>
      </c>
      <c r="J65" s="55">
        <v>5.41</v>
      </c>
      <c r="K65" s="55">
        <v>3.94</v>
      </c>
      <c r="L65" s="55">
        <v>2.89</v>
      </c>
      <c r="M65" s="55">
        <v>2.88</v>
      </c>
      <c r="N65" s="55">
        <v>3.38</v>
      </c>
    </row>
    <row r="66" spans="2:14" x14ac:dyDescent="0.35">
      <c r="B66" s="55">
        <v>4.5999999999999996</v>
      </c>
      <c r="C66" s="55">
        <v>4.21</v>
      </c>
      <c r="D66" s="55">
        <v>4.18</v>
      </c>
      <c r="E66" s="55">
        <v>4.42</v>
      </c>
      <c r="F66" s="55">
        <v>5.25</v>
      </c>
      <c r="G66" s="55" t="s">
        <v>216</v>
      </c>
      <c r="H66" s="55">
        <v>5.05</v>
      </c>
      <c r="I66" s="55">
        <v>3.99</v>
      </c>
      <c r="J66" s="55">
        <v>2.71</v>
      </c>
      <c r="K66" s="55">
        <v>3.21</v>
      </c>
      <c r="L66" s="55">
        <v>4.45</v>
      </c>
      <c r="M66" s="55">
        <v>4.68</v>
      </c>
      <c r="N66" s="55">
        <v>4.55</v>
      </c>
    </row>
    <row r="67" spans="2:14" x14ac:dyDescent="0.35">
      <c r="B67" s="55">
        <v>4.59</v>
      </c>
      <c r="C67" s="55">
        <v>3.26</v>
      </c>
      <c r="D67" s="55">
        <v>3.58</v>
      </c>
      <c r="E67" s="55">
        <v>3</v>
      </c>
      <c r="F67" s="55">
        <v>2.87</v>
      </c>
      <c r="G67" s="55" t="s">
        <v>280</v>
      </c>
      <c r="H67" s="55">
        <v>1.82</v>
      </c>
      <c r="I67" s="55">
        <v>2.12</v>
      </c>
      <c r="J67" s="55">
        <v>1.91</v>
      </c>
      <c r="K67" s="55">
        <v>2.69</v>
      </c>
      <c r="L67" s="55">
        <v>4.25</v>
      </c>
      <c r="M67" s="55">
        <v>4.7</v>
      </c>
      <c r="N67" s="55">
        <v>4.78</v>
      </c>
    </row>
    <row r="68" spans="2:14" x14ac:dyDescent="0.35">
      <c r="B68" s="55">
        <v>4.57</v>
      </c>
      <c r="C68" s="55">
        <v>4.01</v>
      </c>
      <c r="D68" s="55">
        <v>5.17</v>
      </c>
      <c r="E68" s="55">
        <v>3.99</v>
      </c>
      <c r="F68" s="55">
        <v>4.68</v>
      </c>
      <c r="G68" s="55" t="s">
        <v>286</v>
      </c>
      <c r="H68" s="55">
        <v>4.04</v>
      </c>
      <c r="I68" s="55">
        <v>4.71</v>
      </c>
      <c r="J68" s="55">
        <v>2.89</v>
      </c>
      <c r="K68" s="55">
        <v>3.04</v>
      </c>
      <c r="L68" s="55">
        <v>2.65</v>
      </c>
      <c r="M68" s="55">
        <v>3.98</v>
      </c>
      <c r="N68" s="55">
        <v>4.49</v>
      </c>
    </row>
    <row r="69" spans="2:14" x14ac:dyDescent="0.35">
      <c r="B69" s="55">
        <v>4.5199999999999996</v>
      </c>
      <c r="C69" s="55">
        <v>3.66</v>
      </c>
      <c r="D69" s="55">
        <v>4.22</v>
      </c>
      <c r="E69" s="55">
        <v>2.94</v>
      </c>
      <c r="F69" s="55">
        <v>4.4000000000000004</v>
      </c>
      <c r="G69" s="55" t="s">
        <v>198</v>
      </c>
      <c r="H69" s="55">
        <v>5.36</v>
      </c>
      <c r="I69" s="55">
        <v>7.62</v>
      </c>
      <c r="J69" s="55">
        <v>7.31</v>
      </c>
      <c r="K69" s="55">
        <v>6.79</v>
      </c>
      <c r="L69" s="55">
        <v>3.21</v>
      </c>
      <c r="M69" s="55">
        <v>3.26</v>
      </c>
      <c r="N69" s="55">
        <v>3.78</v>
      </c>
    </row>
    <row r="70" spans="2:14" x14ac:dyDescent="0.35">
      <c r="B70" s="55">
        <v>4.5</v>
      </c>
      <c r="C70" s="55">
        <v>4.1100000000000003</v>
      </c>
      <c r="D70" s="55">
        <v>4.6100000000000003</v>
      </c>
      <c r="E70" s="55">
        <v>2.94</v>
      </c>
      <c r="F70" s="55">
        <v>3.07</v>
      </c>
      <c r="G70" s="55" t="s">
        <v>477</v>
      </c>
      <c r="H70" s="55">
        <v>4.1900000000000004</v>
      </c>
      <c r="I70" s="55">
        <v>4.07</v>
      </c>
      <c r="J70" s="55">
        <v>4.4800000000000004</v>
      </c>
      <c r="K70" s="55">
        <v>3.59</v>
      </c>
      <c r="L70" s="55">
        <v>3.2</v>
      </c>
      <c r="M70" s="55">
        <v>2.68</v>
      </c>
      <c r="N70" s="55">
        <v>3.14</v>
      </c>
    </row>
    <row r="71" spans="2:14" x14ac:dyDescent="0.35">
      <c r="B71" s="55">
        <v>4.45</v>
      </c>
      <c r="C71" s="55">
        <v>4.01</v>
      </c>
      <c r="D71" s="55">
        <v>3.26</v>
      </c>
      <c r="E71" s="55">
        <v>1.17</v>
      </c>
      <c r="F71" s="55">
        <v>0.38</v>
      </c>
      <c r="G71" s="55" t="s">
        <v>476</v>
      </c>
      <c r="H71" s="55">
        <v>0.11</v>
      </c>
      <c r="I71" s="55">
        <v>0.03</v>
      </c>
      <c r="J71" s="55">
        <v>7.0000000000000007E-2</v>
      </c>
      <c r="K71" s="55">
        <v>0.2</v>
      </c>
      <c r="L71" s="55">
        <v>1.04</v>
      </c>
      <c r="M71" s="55">
        <v>2.4900000000000002</v>
      </c>
      <c r="N71" s="55">
        <v>2.89</v>
      </c>
    </row>
    <row r="72" spans="2:14" x14ac:dyDescent="0.35">
      <c r="B72" s="55">
        <v>4.41</v>
      </c>
      <c r="C72" s="55">
        <v>4.24</v>
      </c>
      <c r="D72" s="55">
        <v>5.31</v>
      </c>
      <c r="E72" s="55">
        <v>3.53</v>
      </c>
      <c r="F72" s="55">
        <v>4.59</v>
      </c>
      <c r="G72" s="55" t="s">
        <v>303</v>
      </c>
      <c r="H72" s="55">
        <v>3.92</v>
      </c>
      <c r="I72" s="55">
        <v>4.6500000000000004</v>
      </c>
      <c r="J72" s="55">
        <v>4.08</v>
      </c>
      <c r="K72" s="55">
        <v>3.96</v>
      </c>
      <c r="L72" s="55">
        <v>3.88</v>
      </c>
      <c r="M72" s="55">
        <v>3.79</v>
      </c>
      <c r="N72" s="55">
        <v>3.86</v>
      </c>
    </row>
    <row r="73" spans="2:14" x14ac:dyDescent="0.35">
      <c r="B73" s="55">
        <v>4.37</v>
      </c>
      <c r="C73" s="55">
        <v>3.45</v>
      </c>
      <c r="D73" s="55">
        <v>4.43</v>
      </c>
      <c r="E73" s="55">
        <v>4.16</v>
      </c>
      <c r="F73" s="55">
        <v>3.66</v>
      </c>
      <c r="G73" s="55" t="s">
        <v>237</v>
      </c>
      <c r="H73" s="55">
        <v>3.38</v>
      </c>
      <c r="I73" s="55">
        <v>3.17</v>
      </c>
      <c r="J73" s="55">
        <v>3.9</v>
      </c>
      <c r="K73" s="55">
        <v>3.7</v>
      </c>
      <c r="L73" s="55">
        <v>3.69</v>
      </c>
      <c r="M73" s="55">
        <v>4.4000000000000004</v>
      </c>
      <c r="N73" s="55">
        <v>4.1399999999999997</v>
      </c>
    </row>
    <row r="74" spans="2:14" x14ac:dyDescent="0.35">
      <c r="B74" s="55">
        <v>4.2699999999999996</v>
      </c>
      <c r="C74" s="55">
        <v>3.33</v>
      </c>
      <c r="D74" s="55">
        <v>4.76</v>
      </c>
      <c r="E74" s="55">
        <v>4.13</v>
      </c>
      <c r="F74" s="55">
        <v>3.9</v>
      </c>
      <c r="G74" s="55" t="s">
        <v>475</v>
      </c>
      <c r="H74" s="55">
        <v>3.71</v>
      </c>
      <c r="I74" s="55">
        <v>2.93</v>
      </c>
      <c r="J74" s="55">
        <v>4.4800000000000004</v>
      </c>
      <c r="K74" s="55">
        <v>3.39</v>
      </c>
      <c r="L74" s="55">
        <v>3.63</v>
      </c>
      <c r="M74" s="55">
        <v>3.86</v>
      </c>
      <c r="N74" s="55">
        <v>4.13</v>
      </c>
    </row>
    <row r="75" spans="2:14" x14ac:dyDescent="0.35">
      <c r="B75" s="55">
        <v>4.24</v>
      </c>
      <c r="C75" s="55">
        <v>4.3099999999999996</v>
      </c>
      <c r="D75" s="55">
        <v>5.58</v>
      </c>
      <c r="E75" s="55">
        <v>5.79</v>
      </c>
      <c r="F75" s="55">
        <v>5.15</v>
      </c>
      <c r="G75" s="55" t="s">
        <v>269</v>
      </c>
      <c r="H75" s="55">
        <v>4.3</v>
      </c>
      <c r="I75" s="55">
        <v>4.22</v>
      </c>
      <c r="J75" s="55">
        <v>3</v>
      </c>
      <c r="K75" s="55">
        <v>3.31</v>
      </c>
      <c r="L75" s="55">
        <v>3.31</v>
      </c>
      <c r="M75" s="55">
        <v>5.76</v>
      </c>
      <c r="N75" s="55">
        <v>5.68</v>
      </c>
    </row>
    <row r="76" spans="2:14" x14ac:dyDescent="0.35">
      <c r="B76" s="55">
        <v>4.13</v>
      </c>
      <c r="C76" s="55">
        <v>3.15</v>
      </c>
      <c r="D76" s="55">
        <v>4.37</v>
      </c>
      <c r="E76" s="55">
        <v>4.28</v>
      </c>
      <c r="F76" s="55">
        <v>4.6900000000000004</v>
      </c>
      <c r="G76" s="55" t="s">
        <v>474</v>
      </c>
      <c r="H76" s="55">
        <v>3.84</v>
      </c>
      <c r="I76" s="55">
        <v>4.62</v>
      </c>
      <c r="J76" s="55">
        <v>4.22</v>
      </c>
      <c r="K76" s="55">
        <v>4.2300000000000004</v>
      </c>
      <c r="L76" s="55">
        <v>3.85</v>
      </c>
      <c r="M76" s="55">
        <v>4.3600000000000003</v>
      </c>
      <c r="N76" s="55">
        <v>3.95</v>
      </c>
    </row>
    <row r="77" spans="2:14" x14ac:dyDescent="0.35">
      <c r="B77" s="55">
        <v>4.09</v>
      </c>
      <c r="C77" s="55">
        <v>3.14</v>
      </c>
      <c r="D77" s="55">
        <v>4.1399999999999997</v>
      </c>
      <c r="E77" s="55">
        <v>4.26</v>
      </c>
      <c r="F77" s="55">
        <v>3.82</v>
      </c>
      <c r="G77" s="55" t="s">
        <v>239</v>
      </c>
      <c r="H77" s="55">
        <v>3.28</v>
      </c>
      <c r="I77" s="55">
        <v>3.32</v>
      </c>
      <c r="J77" s="55">
        <v>3.05</v>
      </c>
      <c r="K77" s="55">
        <v>3.37</v>
      </c>
      <c r="L77" s="55">
        <v>4.4000000000000004</v>
      </c>
      <c r="M77" s="55">
        <v>4.72</v>
      </c>
      <c r="N77" s="55">
        <v>4.24</v>
      </c>
    </row>
    <row r="78" spans="2:14" x14ac:dyDescent="0.35">
      <c r="B78" s="55">
        <v>4.08</v>
      </c>
      <c r="C78" s="55">
        <v>3.08</v>
      </c>
      <c r="D78" s="55">
        <v>4</v>
      </c>
      <c r="E78" s="55">
        <v>2.77</v>
      </c>
      <c r="F78" s="55">
        <v>3.67</v>
      </c>
      <c r="G78" s="55" t="s">
        <v>340</v>
      </c>
      <c r="H78" s="55">
        <v>5.92</v>
      </c>
      <c r="I78" s="55">
        <v>6.13</v>
      </c>
      <c r="J78" s="55">
        <v>6.91</v>
      </c>
      <c r="K78" s="55">
        <v>5.98</v>
      </c>
      <c r="L78" s="55">
        <v>3.09</v>
      </c>
      <c r="M78" s="55">
        <v>2.66</v>
      </c>
      <c r="N78" s="55">
        <v>3.24</v>
      </c>
    </row>
    <row r="79" spans="2:14" x14ac:dyDescent="0.35">
      <c r="B79" s="55">
        <v>4.08</v>
      </c>
      <c r="C79" s="55">
        <v>2.61</v>
      </c>
      <c r="D79" s="55">
        <v>2.76</v>
      </c>
      <c r="E79" s="55">
        <v>2.56</v>
      </c>
      <c r="F79" s="55">
        <v>3.7</v>
      </c>
      <c r="G79" s="55" t="s">
        <v>310</v>
      </c>
      <c r="H79" s="55">
        <v>4.04</v>
      </c>
      <c r="I79" s="55">
        <v>3.45</v>
      </c>
      <c r="J79" s="55">
        <v>4.22</v>
      </c>
      <c r="K79" s="55">
        <v>5.76</v>
      </c>
      <c r="L79" s="55">
        <v>3.49</v>
      </c>
      <c r="M79" s="55">
        <v>3.64</v>
      </c>
      <c r="N79" s="55">
        <v>3.53</v>
      </c>
    </row>
    <row r="80" spans="2:14" x14ac:dyDescent="0.35">
      <c r="B80" s="55">
        <v>4.07</v>
      </c>
      <c r="C80" s="55">
        <v>3.1</v>
      </c>
      <c r="D80" s="55">
        <v>4.2300000000000004</v>
      </c>
      <c r="E80" s="55">
        <v>3.92</v>
      </c>
      <c r="F80" s="55">
        <v>4.3499999999999996</v>
      </c>
      <c r="G80" s="55" t="s">
        <v>473</v>
      </c>
      <c r="H80" s="55">
        <v>4.0199999999999996</v>
      </c>
      <c r="I80" s="55">
        <v>4.1900000000000004</v>
      </c>
      <c r="J80" s="55">
        <v>4.09</v>
      </c>
      <c r="K80" s="55">
        <v>4.2699999999999996</v>
      </c>
      <c r="L80" s="55">
        <v>4.67</v>
      </c>
      <c r="M80" s="55">
        <v>4.34</v>
      </c>
      <c r="N80" s="55">
        <v>3.8</v>
      </c>
    </row>
    <row r="81" spans="2:14" x14ac:dyDescent="0.35">
      <c r="B81" s="55">
        <v>4.0599999999999996</v>
      </c>
      <c r="C81" s="55">
        <v>3.83</v>
      </c>
      <c r="D81" s="55">
        <v>4.59</v>
      </c>
      <c r="E81" s="55">
        <v>3.5</v>
      </c>
      <c r="F81" s="55">
        <v>4.41</v>
      </c>
      <c r="G81" s="55" t="s">
        <v>360</v>
      </c>
      <c r="H81" s="55">
        <v>4.38</v>
      </c>
      <c r="I81" s="55">
        <v>3.87</v>
      </c>
      <c r="J81" s="55">
        <v>4.3</v>
      </c>
      <c r="K81" s="55">
        <v>3.72</v>
      </c>
      <c r="L81" s="55">
        <v>3.17</v>
      </c>
      <c r="M81" s="55">
        <v>3.82</v>
      </c>
      <c r="N81" s="55">
        <v>3.39</v>
      </c>
    </row>
    <row r="82" spans="2:14" x14ac:dyDescent="0.35">
      <c r="B82" s="55">
        <v>4.0199999999999996</v>
      </c>
      <c r="C82" s="55">
        <v>3.47</v>
      </c>
      <c r="D82" s="55">
        <v>4.03</v>
      </c>
      <c r="E82" s="55">
        <v>2.8</v>
      </c>
      <c r="F82" s="55">
        <v>3.79</v>
      </c>
      <c r="G82" s="55" t="s">
        <v>234</v>
      </c>
      <c r="H82" s="55">
        <v>3.42</v>
      </c>
      <c r="I82" s="55">
        <v>4.29</v>
      </c>
      <c r="J82" s="55">
        <v>3.78</v>
      </c>
      <c r="K82" s="55">
        <v>4.26</v>
      </c>
      <c r="L82" s="55">
        <v>3.18</v>
      </c>
      <c r="M82" s="55">
        <v>2.97</v>
      </c>
      <c r="N82" s="55">
        <v>3.04</v>
      </c>
    </row>
    <row r="83" spans="2:14" x14ac:dyDescent="0.35">
      <c r="B83" s="55">
        <v>4</v>
      </c>
      <c r="C83" s="55">
        <v>3.55</v>
      </c>
      <c r="D83" s="55">
        <v>4.3899999999999997</v>
      </c>
      <c r="E83" s="55">
        <v>2.95</v>
      </c>
      <c r="F83" s="55">
        <v>3.66</v>
      </c>
      <c r="G83" s="55" t="s">
        <v>339</v>
      </c>
      <c r="H83" s="55">
        <v>3.42</v>
      </c>
      <c r="I83" s="55">
        <v>3.79</v>
      </c>
      <c r="J83" s="55">
        <v>3.72</v>
      </c>
      <c r="K83" s="55">
        <v>3.83</v>
      </c>
      <c r="L83" s="55">
        <v>3.66</v>
      </c>
      <c r="M83" s="55">
        <v>3.36</v>
      </c>
      <c r="N83" s="55">
        <v>3.18</v>
      </c>
    </row>
    <row r="84" spans="2:14" x14ac:dyDescent="0.35">
      <c r="B84" s="55">
        <v>3.98</v>
      </c>
      <c r="C84" s="55">
        <v>2.96</v>
      </c>
      <c r="D84" s="55">
        <v>4.21</v>
      </c>
      <c r="E84" s="55">
        <v>3.92</v>
      </c>
      <c r="F84" s="55">
        <v>4.46</v>
      </c>
      <c r="G84" s="55" t="s">
        <v>472</v>
      </c>
      <c r="H84" s="55">
        <v>3.4</v>
      </c>
      <c r="I84" s="55">
        <v>4.68</v>
      </c>
      <c r="J84" s="55">
        <v>4.0199999999999996</v>
      </c>
      <c r="K84" s="55">
        <v>4.01</v>
      </c>
      <c r="L84" s="55">
        <v>3.16</v>
      </c>
      <c r="M84" s="55">
        <v>3.88</v>
      </c>
      <c r="N84" s="55">
        <v>3.57</v>
      </c>
    </row>
    <row r="85" spans="2:14" x14ac:dyDescent="0.35">
      <c r="B85" s="55">
        <v>3.97</v>
      </c>
      <c r="C85" s="55">
        <v>3.69</v>
      </c>
      <c r="D85" s="55">
        <v>4.87</v>
      </c>
      <c r="E85" s="55">
        <v>3.93</v>
      </c>
      <c r="F85" s="55">
        <v>5.07</v>
      </c>
      <c r="G85" s="55" t="s">
        <v>258</v>
      </c>
      <c r="H85" s="55">
        <v>4.08</v>
      </c>
      <c r="I85" s="55">
        <v>3.77</v>
      </c>
      <c r="J85" s="55">
        <v>3.28</v>
      </c>
      <c r="K85" s="55">
        <v>3.59</v>
      </c>
      <c r="L85" s="55">
        <v>2.87</v>
      </c>
      <c r="M85" s="55">
        <v>4.45</v>
      </c>
      <c r="N85" s="55">
        <v>4.54</v>
      </c>
    </row>
    <row r="86" spans="2:14" x14ac:dyDescent="0.35">
      <c r="B86" s="55">
        <v>3.95</v>
      </c>
      <c r="C86" s="55">
        <v>2.92</v>
      </c>
      <c r="D86" s="55">
        <v>3.64</v>
      </c>
      <c r="E86" s="55">
        <v>3.32</v>
      </c>
      <c r="F86" s="55">
        <v>3.61</v>
      </c>
      <c r="G86" s="55" t="s">
        <v>220</v>
      </c>
      <c r="H86" s="55">
        <v>5.49</v>
      </c>
      <c r="I86" s="55">
        <v>6.04</v>
      </c>
      <c r="J86" s="55">
        <v>7.2</v>
      </c>
      <c r="K86" s="55">
        <v>5.08</v>
      </c>
      <c r="L86" s="55">
        <v>3.12</v>
      </c>
      <c r="M86" s="55">
        <v>2.4</v>
      </c>
      <c r="N86" s="55">
        <v>2.81</v>
      </c>
    </row>
    <row r="87" spans="2:14" x14ac:dyDescent="0.35">
      <c r="B87" s="55">
        <v>3.93</v>
      </c>
      <c r="C87" s="55">
        <v>3.34</v>
      </c>
      <c r="D87" s="55">
        <v>4.08</v>
      </c>
      <c r="E87" s="55">
        <v>3.38</v>
      </c>
      <c r="F87" s="55">
        <v>3.74</v>
      </c>
      <c r="G87" s="55" t="s">
        <v>254</v>
      </c>
      <c r="H87" s="55">
        <v>3.77</v>
      </c>
      <c r="I87" s="55">
        <v>5.17</v>
      </c>
      <c r="J87" s="55">
        <v>4.79</v>
      </c>
      <c r="K87" s="55">
        <v>4.0599999999999996</v>
      </c>
      <c r="L87" s="55">
        <v>3.47</v>
      </c>
      <c r="M87" s="55">
        <v>2.98</v>
      </c>
      <c r="N87" s="55">
        <v>3.03</v>
      </c>
    </row>
    <row r="88" spans="2:14" x14ac:dyDescent="0.35">
      <c r="B88" s="55">
        <v>3.92</v>
      </c>
      <c r="C88" s="55">
        <v>3.3</v>
      </c>
      <c r="D88" s="55">
        <v>3.85</v>
      </c>
      <c r="E88" s="55">
        <v>3.6</v>
      </c>
      <c r="F88" s="55">
        <v>3.24</v>
      </c>
      <c r="G88" s="55" t="s">
        <v>346</v>
      </c>
      <c r="H88" s="55">
        <v>3.22</v>
      </c>
      <c r="I88" s="55">
        <v>3.06</v>
      </c>
      <c r="J88" s="55">
        <v>3.37</v>
      </c>
      <c r="K88" s="55">
        <v>3.47</v>
      </c>
      <c r="L88" s="55">
        <v>3.79</v>
      </c>
      <c r="M88" s="55">
        <v>3.98</v>
      </c>
      <c r="N88" s="55">
        <v>3.73</v>
      </c>
    </row>
    <row r="89" spans="2:14" x14ac:dyDescent="0.35">
      <c r="B89" s="55">
        <v>3.84</v>
      </c>
      <c r="C89" s="55">
        <v>2.96</v>
      </c>
      <c r="D89" s="55">
        <v>3.88</v>
      </c>
      <c r="E89" s="55">
        <v>3.86</v>
      </c>
      <c r="F89" s="55">
        <v>4.3899999999999997</v>
      </c>
      <c r="G89" s="55" t="s">
        <v>300</v>
      </c>
      <c r="H89" s="55">
        <v>3.85</v>
      </c>
      <c r="I89" s="55">
        <v>3.67</v>
      </c>
      <c r="J89" s="55">
        <v>3.98</v>
      </c>
      <c r="K89" s="55">
        <v>4.13</v>
      </c>
      <c r="L89" s="55">
        <v>3.94</v>
      </c>
      <c r="M89" s="55">
        <v>4.0599999999999996</v>
      </c>
      <c r="N89" s="55">
        <v>3.6</v>
      </c>
    </row>
    <row r="90" spans="2:14" x14ac:dyDescent="0.35">
      <c r="B90" s="55">
        <v>3.84</v>
      </c>
      <c r="C90" s="55">
        <v>3.54</v>
      </c>
      <c r="D90" s="55">
        <v>2.8</v>
      </c>
      <c r="E90" s="55">
        <v>1.02</v>
      </c>
      <c r="F90" s="55">
        <v>0.53</v>
      </c>
      <c r="G90" s="55" t="s">
        <v>227</v>
      </c>
      <c r="H90" s="55">
        <v>0.2</v>
      </c>
      <c r="I90" s="55">
        <v>0.05</v>
      </c>
      <c r="J90" s="55">
        <v>0.06</v>
      </c>
      <c r="K90" s="55">
        <v>0.36</v>
      </c>
      <c r="L90" s="55">
        <v>0.89</v>
      </c>
      <c r="M90" s="55">
        <v>2.19</v>
      </c>
      <c r="N90" s="55">
        <v>2.4500000000000002</v>
      </c>
    </row>
    <row r="91" spans="2:14" x14ac:dyDescent="0.35">
      <c r="B91" s="55">
        <v>3.75</v>
      </c>
      <c r="C91" s="55">
        <v>2.5499999999999998</v>
      </c>
      <c r="D91" s="55">
        <v>3.68</v>
      </c>
      <c r="E91" s="55">
        <v>3.57</v>
      </c>
      <c r="F91" s="55">
        <v>5.39</v>
      </c>
      <c r="G91" s="55" t="s">
        <v>471</v>
      </c>
      <c r="H91" s="55">
        <v>7.58</v>
      </c>
      <c r="I91" s="55">
        <v>5.97</v>
      </c>
      <c r="J91" s="55">
        <v>6.65</v>
      </c>
      <c r="K91" s="55">
        <v>8.1</v>
      </c>
      <c r="L91" s="55">
        <v>5.46</v>
      </c>
      <c r="M91" s="55">
        <v>5.55</v>
      </c>
      <c r="N91" s="55">
        <v>3.14</v>
      </c>
    </row>
    <row r="92" spans="2:14" x14ac:dyDescent="0.35">
      <c r="B92" s="55">
        <v>3.74</v>
      </c>
      <c r="C92" s="55">
        <v>2.36</v>
      </c>
      <c r="D92" s="55">
        <v>2.35</v>
      </c>
      <c r="E92" s="55">
        <v>1.75</v>
      </c>
      <c r="F92" s="55">
        <v>0.66</v>
      </c>
      <c r="G92" s="55" t="s">
        <v>289</v>
      </c>
      <c r="H92" s="55">
        <v>0.23</v>
      </c>
      <c r="I92" s="55">
        <v>0.49</v>
      </c>
      <c r="J92" s="55">
        <v>0.53</v>
      </c>
      <c r="K92" s="55">
        <v>0.39</v>
      </c>
      <c r="L92" s="55">
        <v>1.05</v>
      </c>
      <c r="M92" s="55">
        <v>2.17</v>
      </c>
      <c r="N92" s="55">
        <v>3.08</v>
      </c>
    </row>
    <row r="93" spans="2:14" x14ac:dyDescent="0.35">
      <c r="B93" s="55">
        <v>3.73</v>
      </c>
      <c r="C93" s="55">
        <v>2.92</v>
      </c>
      <c r="D93" s="55">
        <v>4.1500000000000004</v>
      </c>
      <c r="E93" s="55">
        <v>3.99</v>
      </c>
      <c r="F93" s="55">
        <v>4.03</v>
      </c>
      <c r="G93" s="55" t="s">
        <v>470</v>
      </c>
      <c r="H93" s="55">
        <v>3.57</v>
      </c>
      <c r="I93" s="55">
        <v>3.77</v>
      </c>
      <c r="J93" s="55">
        <v>3.75</v>
      </c>
      <c r="K93" s="55">
        <v>3.58</v>
      </c>
      <c r="L93" s="55">
        <v>3.54</v>
      </c>
      <c r="M93" s="55">
        <v>3.65</v>
      </c>
      <c r="N93" s="55">
        <v>3.47</v>
      </c>
    </row>
    <row r="94" spans="2:14" x14ac:dyDescent="0.35">
      <c r="B94" s="55">
        <v>3.69</v>
      </c>
      <c r="C94" s="55">
        <v>3.15</v>
      </c>
      <c r="D94" s="55">
        <v>3.93</v>
      </c>
      <c r="E94" s="55">
        <v>3.14</v>
      </c>
      <c r="F94" s="55">
        <v>3.48</v>
      </c>
      <c r="G94" s="55" t="s">
        <v>292</v>
      </c>
      <c r="H94" s="55">
        <v>5.37</v>
      </c>
      <c r="I94" s="55">
        <v>5.97</v>
      </c>
      <c r="J94" s="55">
        <v>6.87</v>
      </c>
      <c r="K94" s="55">
        <v>7.9</v>
      </c>
      <c r="L94" s="55">
        <v>3.86</v>
      </c>
      <c r="M94" s="55">
        <v>2.34</v>
      </c>
      <c r="N94" s="55">
        <v>2.64</v>
      </c>
    </row>
    <row r="95" spans="2:14" x14ac:dyDescent="0.35">
      <c r="B95" s="55">
        <v>3.68</v>
      </c>
      <c r="C95" s="55">
        <v>3.04</v>
      </c>
      <c r="D95" s="55">
        <v>3.99</v>
      </c>
      <c r="E95" s="55">
        <v>3.72</v>
      </c>
      <c r="F95" s="55">
        <v>3.4</v>
      </c>
      <c r="G95" s="55" t="s">
        <v>469</v>
      </c>
      <c r="H95" s="55">
        <v>2.77</v>
      </c>
      <c r="I95" s="55">
        <v>2.62</v>
      </c>
      <c r="J95" s="55">
        <v>3</v>
      </c>
      <c r="K95" s="55">
        <v>3.19</v>
      </c>
      <c r="L95" s="55">
        <v>3.04</v>
      </c>
      <c r="M95" s="55">
        <v>3.77</v>
      </c>
      <c r="N95" s="55">
        <v>3.57</v>
      </c>
    </row>
    <row r="96" spans="2:14" x14ac:dyDescent="0.35">
      <c r="B96" s="55">
        <v>3.68</v>
      </c>
      <c r="C96" s="55">
        <v>2.98</v>
      </c>
      <c r="D96" s="55">
        <v>3.36</v>
      </c>
      <c r="E96" s="55">
        <v>3.6</v>
      </c>
      <c r="F96" s="55">
        <v>5.15</v>
      </c>
      <c r="G96" s="55" t="s">
        <v>296</v>
      </c>
      <c r="H96" s="55">
        <v>5.35</v>
      </c>
      <c r="I96" s="55">
        <v>3.18</v>
      </c>
      <c r="J96" s="55">
        <v>3.83</v>
      </c>
      <c r="K96" s="55">
        <v>4.33</v>
      </c>
      <c r="L96" s="55">
        <v>4.5</v>
      </c>
      <c r="M96" s="55">
        <v>4.1900000000000004</v>
      </c>
      <c r="N96" s="55">
        <v>3.69</v>
      </c>
    </row>
    <row r="97" spans="2:14" x14ac:dyDescent="0.35">
      <c r="B97" s="55">
        <v>3.62</v>
      </c>
      <c r="C97" s="55">
        <v>2.62</v>
      </c>
      <c r="D97" s="55">
        <v>3.83</v>
      </c>
      <c r="E97" s="55">
        <v>2.44</v>
      </c>
      <c r="F97" s="55">
        <v>2.77</v>
      </c>
      <c r="G97" s="55" t="s">
        <v>468</v>
      </c>
      <c r="H97" s="55">
        <v>4.96</v>
      </c>
      <c r="I97" s="55">
        <v>5.5</v>
      </c>
      <c r="J97" s="55">
        <v>6.54</v>
      </c>
      <c r="K97" s="55">
        <v>6.13</v>
      </c>
      <c r="L97" s="55">
        <v>3.02</v>
      </c>
      <c r="M97" s="55">
        <v>2.1800000000000002</v>
      </c>
      <c r="N97" s="55">
        <v>2.78</v>
      </c>
    </row>
    <row r="98" spans="2:14" x14ac:dyDescent="0.35">
      <c r="B98" s="55">
        <v>3.62</v>
      </c>
      <c r="C98" s="55">
        <v>2.7</v>
      </c>
      <c r="D98" s="55">
        <v>3.78</v>
      </c>
      <c r="E98" s="55">
        <v>3.75</v>
      </c>
      <c r="F98" s="55">
        <v>4.13</v>
      </c>
      <c r="G98" s="55" t="s">
        <v>467</v>
      </c>
      <c r="H98" s="55">
        <v>3.59</v>
      </c>
      <c r="I98" s="55">
        <v>3.92</v>
      </c>
      <c r="J98" s="55">
        <v>3.64</v>
      </c>
      <c r="K98" s="55">
        <v>3.5</v>
      </c>
      <c r="L98" s="55">
        <v>3.03</v>
      </c>
      <c r="M98" s="55">
        <v>3.48</v>
      </c>
      <c r="N98" s="55">
        <v>3.31</v>
      </c>
    </row>
    <row r="99" spans="2:14" x14ac:dyDescent="0.35">
      <c r="B99" s="55">
        <v>3.61</v>
      </c>
      <c r="C99" s="55">
        <v>3.33</v>
      </c>
      <c r="D99" s="55">
        <v>4.88</v>
      </c>
      <c r="E99" s="55">
        <v>5.47</v>
      </c>
      <c r="F99" s="55">
        <v>5.05</v>
      </c>
      <c r="G99" s="55" t="s">
        <v>278</v>
      </c>
      <c r="H99" s="55">
        <v>3.95</v>
      </c>
      <c r="I99" s="55">
        <v>3.31</v>
      </c>
      <c r="J99" s="55">
        <v>2.93</v>
      </c>
      <c r="K99" s="55">
        <v>3.71</v>
      </c>
      <c r="L99" s="55">
        <v>4.25</v>
      </c>
      <c r="M99" s="55">
        <v>5.73</v>
      </c>
      <c r="N99" s="55">
        <v>4.71</v>
      </c>
    </row>
    <row r="100" spans="2:14" x14ac:dyDescent="0.35">
      <c r="B100" s="55">
        <v>3.6</v>
      </c>
      <c r="C100" s="55">
        <v>2.85</v>
      </c>
      <c r="D100" s="55">
        <v>4.0599999999999996</v>
      </c>
      <c r="E100" s="55">
        <v>3.45</v>
      </c>
      <c r="F100" s="55">
        <v>3.38</v>
      </c>
      <c r="G100" s="55" t="s">
        <v>358</v>
      </c>
      <c r="H100" s="55">
        <v>2.66</v>
      </c>
      <c r="I100" s="55">
        <v>3.86</v>
      </c>
      <c r="J100" s="55">
        <v>4.32</v>
      </c>
      <c r="K100" s="55">
        <v>3.14</v>
      </c>
      <c r="L100" s="55">
        <v>2.86</v>
      </c>
      <c r="M100" s="55">
        <v>3.26</v>
      </c>
      <c r="N100" s="55">
        <v>3.15</v>
      </c>
    </row>
    <row r="101" spans="2:14" x14ac:dyDescent="0.35">
      <c r="B101" s="55">
        <v>3.57</v>
      </c>
      <c r="C101" s="55">
        <v>4.28</v>
      </c>
      <c r="D101" s="55">
        <v>3.51</v>
      </c>
      <c r="E101" s="55">
        <v>0.63</v>
      </c>
      <c r="F101" s="55">
        <v>0.23</v>
      </c>
      <c r="G101" s="55" t="s">
        <v>466</v>
      </c>
      <c r="H101" s="55">
        <v>0.05</v>
      </c>
      <c r="I101" s="55">
        <v>0.03</v>
      </c>
      <c r="J101" s="55">
        <v>0.11</v>
      </c>
      <c r="K101" s="55">
        <v>0.42</v>
      </c>
      <c r="L101" s="55">
        <v>0.52</v>
      </c>
      <c r="M101" s="55">
        <v>1.32</v>
      </c>
      <c r="N101" s="55">
        <v>2.2599999999999998</v>
      </c>
    </row>
    <row r="102" spans="2:14" x14ac:dyDescent="0.35">
      <c r="B102" s="55">
        <v>3.56</v>
      </c>
      <c r="C102" s="55">
        <v>3.68</v>
      </c>
      <c r="D102" s="55">
        <v>4.38</v>
      </c>
      <c r="E102" s="55">
        <v>3.79</v>
      </c>
      <c r="F102" s="55">
        <v>5.16</v>
      </c>
      <c r="G102" s="55" t="s">
        <v>465</v>
      </c>
      <c r="H102" s="55">
        <v>4.67</v>
      </c>
      <c r="I102" s="55">
        <v>4.59</v>
      </c>
      <c r="J102" s="55">
        <v>4.13</v>
      </c>
      <c r="K102" s="55">
        <v>3.77</v>
      </c>
      <c r="L102" s="55">
        <v>3.18</v>
      </c>
      <c r="M102" s="55">
        <v>4.2</v>
      </c>
      <c r="N102" s="55">
        <v>4.2699999999999996</v>
      </c>
    </row>
    <row r="103" spans="2:14" x14ac:dyDescent="0.35">
      <c r="B103" s="55">
        <v>3.56</v>
      </c>
      <c r="C103" s="55">
        <v>2.75</v>
      </c>
      <c r="D103" s="55">
        <v>3.93</v>
      </c>
      <c r="E103" s="55">
        <v>3.68</v>
      </c>
      <c r="F103" s="55">
        <v>4.16</v>
      </c>
      <c r="G103" s="55" t="s">
        <v>464</v>
      </c>
      <c r="H103" s="55">
        <v>3.57</v>
      </c>
      <c r="I103" s="55">
        <v>4.41</v>
      </c>
      <c r="J103" s="55">
        <v>4.09</v>
      </c>
      <c r="K103" s="55">
        <v>3.77</v>
      </c>
      <c r="L103" s="55">
        <v>3.26</v>
      </c>
      <c r="M103" s="55">
        <v>3.67</v>
      </c>
      <c r="N103" s="55">
        <v>3.51</v>
      </c>
    </row>
    <row r="104" spans="2:14" x14ac:dyDescent="0.35">
      <c r="B104" s="55">
        <v>3.55</v>
      </c>
      <c r="C104" s="55">
        <v>2.98</v>
      </c>
      <c r="D104" s="55">
        <v>4.09</v>
      </c>
      <c r="E104" s="55">
        <v>3.18</v>
      </c>
      <c r="F104" s="55">
        <v>3.95</v>
      </c>
      <c r="G104" s="55" t="s">
        <v>230</v>
      </c>
      <c r="H104" s="55">
        <v>3.54</v>
      </c>
      <c r="I104" s="55">
        <v>4.67</v>
      </c>
      <c r="J104" s="55">
        <v>4.18</v>
      </c>
      <c r="K104" s="55">
        <v>3.98</v>
      </c>
      <c r="L104" s="55">
        <v>3.6</v>
      </c>
      <c r="M104" s="55">
        <v>3.06</v>
      </c>
      <c r="N104" s="55">
        <v>3.12</v>
      </c>
    </row>
    <row r="105" spans="2:14" x14ac:dyDescent="0.35">
      <c r="B105" s="55">
        <v>3.54</v>
      </c>
      <c r="C105" s="55">
        <v>3.1</v>
      </c>
      <c r="D105" s="55">
        <v>3.85</v>
      </c>
      <c r="E105" s="55">
        <v>3.43</v>
      </c>
      <c r="F105" s="55">
        <v>3.95</v>
      </c>
      <c r="G105" s="55" t="s">
        <v>304</v>
      </c>
      <c r="H105" s="55">
        <v>3.53</v>
      </c>
      <c r="I105" s="55">
        <v>4.4400000000000004</v>
      </c>
      <c r="J105" s="55">
        <v>3.71</v>
      </c>
      <c r="K105" s="55">
        <v>4.29</v>
      </c>
      <c r="L105" s="55">
        <v>3.27</v>
      </c>
      <c r="M105" s="55">
        <v>2.96</v>
      </c>
      <c r="N105" s="55">
        <v>3.06</v>
      </c>
    </row>
    <row r="106" spans="2:14" x14ac:dyDescent="0.35">
      <c r="B106" s="55">
        <v>3.54</v>
      </c>
      <c r="C106" s="55">
        <v>3.1</v>
      </c>
      <c r="D106" s="55">
        <v>3.83</v>
      </c>
      <c r="E106" s="55">
        <v>3.46</v>
      </c>
      <c r="F106" s="55">
        <v>4.1100000000000003</v>
      </c>
      <c r="G106" s="55" t="s">
        <v>274</v>
      </c>
      <c r="H106" s="55">
        <v>3.79</v>
      </c>
      <c r="I106" s="55">
        <v>4.3899999999999997</v>
      </c>
      <c r="J106" s="55">
        <v>3.41</v>
      </c>
      <c r="K106" s="55">
        <v>3.88</v>
      </c>
      <c r="L106" s="55">
        <v>3.39</v>
      </c>
      <c r="M106" s="55">
        <v>3.18</v>
      </c>
      <c r="N106" s="55">
        <v>3.23</v>
      </c>
    </row>
    <row r="107" spans="2:14" x14ac:dyDescent="0.35">
      <c r="B107" s="55">
        <v>3.52</v>
      </c>
      <c r="C107" s="55">
        <v>3.4</v>
      </c>
      <c r="D107" s="55">
        <v>3.91</v>
      </c>
      <c r="E107" s="55">
        <v>3.23</v>
      </c>
      <c r="F107" s="55">
        <v>4.32</v>
      </c>
      <c r="G107" s="55" t="s">
        <v>463</v>
      </c>
      <c r="H107" s="55">
        <v>3.89</v>
      </c>
      <c r="I107" s="55">
        <v>4.21</v>
      </c>
      <c r="J107" s="55">
        <v>3</v>
      </c>
      <c r="K107" s="55">
        <v>3.08</v>
      </c>
      <c r="L107" s="55">
        <v>2.2999999999999998</v>
      </c>
      <c r="M107" s="55">
        <v>3.08</v>
      </c>
      <c r="N107" s="55">
        <v>3.39</v>
      </c>
    </row>
    <row r="108" spans="2:14" x14ac:dyDescent="0.35">
      <c r="B108" s="55">
        <v>3.52</v>
      </c>
      <c r="C108" s="55">
        <v>2.74</v>
      </c>
      <c r="D108" s="55">
        <v>3.81</v>
      </c>
      <c r="E108" s="55">
        <v>3.49</v>
      </c>
      <c r="F108" s="55">
        <v>3.88</v>
      </c>
      <c r="G108" s="55" t="s">
        <v>245</v>
      </c>
      <c r="H108" s="55">
        <v>3.29</v>
      </c>
      <c r="I108" s="55">
        <v>4.3899999999999997</v>
      </c>
      <c r="J108" s="55">
        <v>3.82</v>
      </c>
      <c r="K108" s="55">
        <v>3.88</v>
      </c>
      <c r="L108" s="55">
        <v>2.75</v>
      </c>
      <c r="M108" s="55">
        <v>3.16</v>
      </c>
      <c r="N108" s="55">
        <v>3.31</v>
      </c>
    </row>
    <row r="109" spans="2:14" x14ac:dyDescent="0.35">
      <c r="B109" s="55">
        <v>3.51</v>
      </c>
      <c r="C109" s="55">
        <v>3.39</v>
      </c>
      <c r="D109" s="55">
        <v>4.26</v>
      </c>
      <c r="E109" s="55">
        <v>2.86</v>
      </c>
      <c r="F109" s="55">
        <v>3.23</v>
      </c>
      <c r="G109" s="55" t="s">
        <v>462</v>
      </c>
      <c r="H109" s="55">
        <v>6.78</v>
      </c>
      <c r="I109" s="55">
        <v>6.1</v>
      </c>
      <c r="J109" s="55">
        <v>6.63</v>
      </c>
      <c r="K109" s="55">
        <v>4.37</v>
      </c>
      <c r="L109" s="55">
        <v>2.5</v>
      </c>
      <c r="M109" s="55">
        <v>2.17</v>
      </c>
      <c r="N109" s="55">
        <v>2.56</v>
      </c>
    </row>
    <row r="110" spans="2:14" x14ac:dyDescent="0.35">
      <c r="B110" s="55">
        <v>3.5</v>
      </c>
      <c r="C110" s="55">
        <v>2.75</v>
      </c>
      <c r="D110" s="55">
        <v>3.56</v>
      </c>
      <c r="E110" s="55">
        <v>3.49</v>
      </c>
      <c r="F110" s="55">
        <v>4.47</v>
      </c>
      <c r="G110" s="55" t="s">
        <v>365</v>
      </c>
      <c r="H110" s="55">
        <v>3.99</v>
      </c>
      <c r="I110" s="55">
        <v>4.2699999999999996</v>
      </c>
      <c r="J110" s="55">
        <v>4.3499999999999996</v>
      </c>
      <c r="K110" s="55">
        <v>4.37</v>
      </c>
      <c r="L110" s="55">
        <v>3.33</v>
      </c>
      <c r="M110" s="55">
        <v>3.7</v>
      </c>
      <c r="N110" s="55">
        <v>3.39</v>
      </c>
    </row>
    <row r="111" spans="2:14" x14ac:dyDescent="0.35">
      <c r="B111" s="55">
        <v>3.47</v>
      </c>
      <c r="C111" s="55">
        <v>3.02</v>
      </c>
      <c r="D111" s="55">
        <v>3.93</v>
      </c>
      <c r="E111" s="55">
        <v>3</v>
      </c>
      <c r="F111" s="55">
        <v>3.89</v>
      </c>
      <c r="G111" s="55" t="s">
        <v>354</v>
      </c>
      <c r="H111" s="55">
        <v>3.43</v>
      </c>
      <c r="I111" s="55">
        <v>3.85</v>
      </c>
      <c r="J111" s="55">
        <v>3.74</v>
      </c>
      <c r="K111" s="55">
        <v>3.98</v>
      </c>
      <c r="L111" s="55">
        <v>3.16</v>
      </c>
      <c r="M111" s="55">
        <v>3.12</v>
      </c>
      <c r="N111" s="55">
        <v>3.35</v>
      </c>
    </row>
    <row r="112" spans="2:14" x14ac:dyDescent="0.35">
      <c r="B112" s="55">
        <v>3.47</v>
      </c>
      <c r="C112" s="55">
        <v>3.93</v>
      </c>
      <c r="D112" s="55">
        <v>4.2699999999999996</v>
      </c>
      <c r="E112" s="55">
        <v>4.95</v>
      </c>
      <c r="F112" s="55">
        <v>4.75</v>
      </c>
      <c r="G112" s="55" t="s">
        <v>249</v>
      </c>
      <c r="H112" s="55">
        <v>4.51</v>
      </c>
      <c r="I112" s="55">
        <v>4.45</v>
      </c>
      <c r="J112" s="55">
        <v>2.99</v>
      </c>
      <c r="K112" s="55">
        <v>3.56</v>
      </c>
      <c r="L112" s="55">
        <v>3.45</v>
      </c>
      <c r="M112" s="55">
        <v>4.53</v>
      </c>
      <c r="N112" s="55">
        <v>4.38</v>
      </c>
    </row>
    <row r="113" spans="2:14" x14ac:dyDescent="0.35">
      <c r="B113" s="55">
        <v>3.44</v>
      </c>
      <c r="C113" s="55">
        <v>2.88</v>
      </c>
      <c r="D113" s="55">
        <v>3.79</v>
      </c>
      <c r="E113" s="55">
        <v>3.25</v>
      </c>
      <c r="F113" s="55">
        <v>3.16</v>
      </c>
      <c r="G113" s="55" t="s">
        <v>461</v>
      </c>
      <c r="H113" s="55">
        <v>2.46</v>
      </c>
      <c r="I113" s="55">
        <v>3.36</v>
      </c>
      <c r="J113" s="55">
        <v>4.16</v>
      </c>
      <c r="K113" s="55">
        <v>3.02</v>
      </c>
      <c r="L113" s="55">
        <v>2.71</v>
      </c>
      <c r="M113" s="55">
        <v>2.96</v>
      </c>
      <c r="N113" s="55">
        <v>3.18</v>
      </c>
    </row>
    <row r="114" spans="2:14" x14ac:dyDescent="0.35">
      <c r="B114" s="55">
        <v>3.43</v>
      </c>
      <c r="C114" s="55">
        <v>3.2</v>
      </c>
      <c r="D114" s="55">
        <v>3.92</v>
      </c>
      <c r="E114" s="55">
        <v>3.53</v>
      </c>
      <c r="F114" s="55">
        <v>4.7699999999999996</v>
      </c>
      <c r="G114" s="55" t="s">
        <v>319</v>
      </c>
      <c r="H114" s="55">
        <v>4.6100000000000003</v>
      </c>
      <c r="I114" s="55">
        <v>4.83</v>
      </c>
      <c r="J114" s="55">
        <v>4.26</v>
      </c>
      <c r="K114" s="55">
        <v>3.82</v>
      </c>
      <c r="L114" s="55">
        <v>2.86</v>
      </c>
      <c r="M114" s="55">
        <v>3.42</v>
      </c>
      <c r="N114" s="55">
        <v>3.44</v>
      </c>
    </row>
    <row r="115" spans="2:14" x14ac:dyDescent="0.35">
      <c r="B115" s="55">
        <v>3.43</v>
      </c>
      <c r="C115" s="55">
        <v>2.81</v>
      </c>
      <c r="D115" s="55">
        <v>3.97</v>
      </c>
      <c r="E115" s="55">
        <v>3.39</v>
      </c>
      <c r="F115" s="55">
        <v>4.1500000000000004</v>
      </c>
      <c r="G115" s="55" t="s">
        <v>460</v>
      </c>
      <c r="H115" s="55">
        <v>3.59</v>
      </c>
      <c r="I115" s="55">
        <v>4.28</v>
      </c>
      <c r="J115" s="55">
        <v>3.51</v>
      </c>
      <c r="K115" s="55">
        <v>4.01</v>
      </c>
      <c r="L115" s="55">
        <v>3.08</v>
      </c>
      <c r="M115" s="55">
        <v>3.19</v>
      </c>
      <c r="N115" s="55">
        <v>3.4</v>
      </c>
    </row>
    <row r="116" spans="2:14" x14ac:dyDescent="0.35">
      <c r="B116" s="55">
        <v>3.37</v>
      </c>
      <c r="C116" s="55">
        <v>3.27</v>
      </c>
      <c r="D116" s="55">
        <v>4.88</v>
      </c>
      <c r="E116" s="55">
        <v>5.03</v>
      </c>
      <c r="F116" s="55">
        <v>5.4</v>
      </c>
      <c r="G116" s="55" t="s">
        <v>253</v>
      </c>
      <c r="H116" s="55">
        <v>3.51</v>
      </c>
      <c r="I116" s="55">
        <v>3.15</v>
      </c>
      <c r="J116" s="55">
        <v>2.97</v>
      </c>
      <c r="K116" s="55">
        <v>3.53</v>
      </c>
      <c r="L116" s="55">
        <v>3.81</v>
      </c>
      <c r="M116" s="55">
        <v>5.74</v>
      </c>
      <c r="N116" s="55">
        <v>4.53</v>
      </c>
    </row>
    <row r="117" spans="2:14" x14ac:dyDescent="0.35">
      <c r="B117" s="55">
        <v>3.34</v>
      </c>
      <c r="C117" s="55">
        <v>3.27</v>
      </c>
      <c r="D117" s="55">
        <v>4.41</v>
      </c>
      <c r="E117" s="55">
        <v>3.67</v>
      </c>
      <c r="F117" s="55">
        <v>4.78</v>
      </c>
      <c r="G117" s="55" t="s">
        <v>459</v>
      </c>
      <c r="H117" s="55">
        <v>4.58</v>
      </c>
      <c r="I117" s="55">
        <v>4.8</v>
      </c>
      <c r="J117" s="55">
        <v>3.77</v>
      </c>
      <c r="K117" s="55">
        <v>3.11</v>
      </c>
      <c r="L117" s="55">
        <v>2.7</v>
      </c>
      <c r="M117" s="55">
        <v>3.44</v>
      </c>
      <c r="N117" s="55">
        <v>4.03</v>
      </c>
    </row>
    <row r="118" spans="2:14" x14ac:dyDescent="0.35">
      <c r="B118" s="55">
        <v>3.33</v>
      </c>
      <c r="C118" s="55">
        <v>3.68</v>
      </c>
      <c r="D118" s="55">
        <v>3.14</v>
      </c>
      <c r="E118" s="55">
        <v>0.83</v>
      </c>
      <c r="F118" s="55">
        <v>0.31</v>
      </c>
      <c r="G118" s="55" t="s">
        <v>277</v>
      </c>
      <c r="H118" s="55">
        <v>0.06</v>
      </c>
      <c r="I118" s="55">
        <v>0.01</v>
      </c>
      <c r="J118" s="55">
        <v>0.13</v>
      </c>
      <c r="K118" s="55">
        <v>0.32</v>
      </c>
      <c r="L118" s="55">
        <v>0.37</v>
      </c>
      <c r="M118" s="55">
        <v>1.05</v>
      </c>
      <c r="N118" s="55">
        <v>1.91</v>
      </c>
    </row>
    <row r="119" spans="2:14" x14ac:dyDescent="0.35">
      <c r="B119" s="55">
        <v>3.28</v>
      </c>
      <c r="C119" s="55">
        <v>3.25</v>
      </c>
      <c r="D119" s="55">
        <v>4.41</v>
      </c>
      <c r="E119" s="55">
        <v>3.91</v>
      </c>
      <c r="F119" s="55">
        <v>4.88</v>
      </c>
      <c r="G119" s="55" t="s">
        <v>276</v>
      </c>
      <c r="H119" s="55">
        <v>3.76</v>
      </c>
      <c r="I119" s="55">
        <v>4.3</v>
      </c>
      <c r="J119" s="55">
        <v>3.41</v>
      </c>
      <c r="K119" s="55">
        <v>3.05</v>
      </c>
      <c r="L119" s="55">
        <v>2.79</v>
      </c>
      <c r="M119" s="55">
        <v>3.8</v>
      </c>
      <c r="N119" s="55">
        <v>3.69</v>
      </c>
    </row>
    <row r="120" spans="2:14" x14ac:dyDescent="0.35">
      <c r="B120" s="55">
        <v>3.25</v>
      </c>
      <c r="C120" s="55">
        <v>3.19</v>
      </c>
      <c r="D120" s="55">
        <v>3.9</v>
      </c>
      <c r="E120" s="55">
        <v>3.25</v>
      </c>
      <c r="F120" s="55">
        <v>4.3</v>
      </c>
      <c r="G120" s="55" t="s">
        <v>458</v>
      </c>
      <c r="H120" s="55">
        <v>4.09</v>
      </c>
      <c r="I120" s="55">
        <v>4.8600000000000003</v>
      </c>
      <c r="J120" s="55">
        <v>4.1100000000000003</v>
      </c>
      <c r="K120" s="55">
        <v>3.45</v>
      </c>
      <c r="L120" s="55">
        <v>2.67</v>
      </c>
      <c r="M120" s="55">
        <v>3.66</v>
      </c>
      <c r="N120" s="55">
        <v>3.32</v>
      </c>
    </row>
    <row r="121" spans="2:14" x14ac:dyDescent="0.35">
      <c r="B121" s="55">
        <v>3.23</v>
      </c>
      <c r="C121" s="55">
        <v>2.96</v>
      </c>
      <c r="D121" s="55">
        <v>3.63</v>
      </c>
      <c r="E121" s="55">
        <v>3.42</v>
      </c>
      <c r="F121" s="55">
        <v>4.3899999999999997</v>
      </c>
      <c r="G121" s="55" t="s">
        <v>457</v>
      </c>
      <c r="H121" s="55">
        <v>3.92</v>
      </c>
      <c r="I121" s="55">
        <v>4.78</v>
      </c>
      <c r="J121" s="55">
        <v>3.45</v>
      </c>
      <c r="K121" s="55">
        <v>3.23</v>
      </c>
      <c r="L121" s="55">
        <v>2.64</v>
      </c>
      <c r="M121" s="55">
        <v>2.88</v>
      </c>
      <c r="N121" s="55">
        <v>3.09</v>
      </c>
    </row>
    <row r="122" spans="2:14" x14ac:dyDescent="0.35">
      <c r="B122" s="55">
        <v>3.23</v>
      </c>
      <c r="C122" s="55">
        <v>3.08</v>
      </c>
      <c r="D122" s="55">
        <v>3.84</v>
      </c>
      <c r="E122" s="55">
        <v>3.61</v>
      </c>
      <c r="F122" s="55">
        <v>4.24</v>
      </c>
      <c r="G122" s="55" t="s">
        <v>456</v>
      </c>
      <c r="H122" s="55">
        <v>3.68</v>
      </c>
      <c r="I122" s="55">
        <v>4</v>
      </c>
      <c r="J122" s="55">
        <v>3.74</v>
      </c>
      <c r="K122" s="55">
        <v>3.85</v>
      </c>
      <c r="L122" s="55">
        <v>3.15</v>
      </c>
      <c r="M122" s="55">
        <v>3.21</v>
      </c>
      <c r="N122" s="55">
        <v>2.86</v>
      </c>
    </row>
    <row r="123" spans="2:14" x14ac:dyDescent="0.35">
      <c r="B123" s="55">
        <v>3.21</v>
      </c>
      <c r="C123" s="55">
        <v>3.09</v>
      </c>
      <c r="D123" s="55">
        <v>3.83</v>
      </c>
      <c r="E123" s="55">
        <v>3.33</v>
      </c>
      <c r="F123" s="55">
        <v>4.41</v>
      </c>
      <c r="G123" s="55" t="s">
        <v>455</v>
      </c>
      <c r="H123" s="55">
        <v>3.88</v>
      </c>
      <c r="I123" s="55">
        <v>4.46</v>
      </c>
      <c r="J123" s="55">
        <v>3.88</v>
      </c>
      <c r="K123" s="55">
        <v>2.8</v>
      </c>
      <c r="L123" s="55">
        <v>2.73</v>
      </c>
      <c r="M123" s="55">
        <v>3.32</v>
      </c>
      <c r="N123" s="55">
        <v>3.37</v>
      </c>
    </row>
    <row r="124" spans="2:14" x14ac:dyDescent="0.35">
      <c r="B124" s="55">
        <v>3.21</v>
      </c>
      <c r="C124" s="55">
        <v>2.63</v>
      </c>
      <c r="D124" s="55">
        <v>3.6</v>
      </c>
      <c r="E124" s="55">
        <v>2.77</v>
      </c>
      <c r="F124" s="55">
        <v>3.82</v>
      </c>
      <c r="G124" s="55" t="s">
        <v>201</v>
      </c>
      <c r="H124" s="55">
        <v>3.13</v>
      </c>
      <c r="I124" s="55">
        <v>3.66</v>
      </c>
      <c r="J124" s="55">
        <v>3.44</v>
      </c>
      <c r="K124" s="55">
        <v>3.79</v>
      </c>
      <c r="L124" s="55">
        <v>3.22</v>
      </c>
      <c r="M124" s="55">
        <v>3.03</v>
      </c>
      <c r="N124" s="55">
        <v>3.05</v>
      </c>
    </row>
    <row r="125" spans="2:14" x14ac:dyDescent="0.35">
      <c r="B125" s="55">
        <v>3.18</v>
      </c>
      <c r="C125" s="55">
        <v>2.88</v>
      </c>
      <c r="D125" s="55">
        <v>3.58</v>
      </c>
      <c r="E125" s="55">
        <v>3.31</v>
      </c>
      <c r="F125" s="55">
        <v>4.5999999999999996</v>
      </c>
      <c r="G125" s="55" t="s">
        <v>301</v>
      </c>
      <c r="H125" s="55">
        <v>3.99</v>
      </c>
      <c r="I125" s="55">
        <v>3.21</v>
      </c>
      <c r="J125" s="55">
        <v>3.24</v>
      </c>
      <c r="K125" s="55">
        <v>3.65</v>
      </c>
      <c r="L125" s="55">
        <v>3.06</v>
      </c>
      <c r="M125" s="55">
        <v>3.53</v>
      </c>
      <c r="N125" s="55">
        <v>3.22</v>
      </c>
    </row>
    <row r="126" spans="2:14" x14ac:dyDescent="0.35">
      <c r="B126" s="55">
        <v>3.18</v>
      </c>
      <c r="C126" s="55">
        <v>2.88</v>
      </c>
      <c r="D126" s="55">
        <v>3.58</v>
      </c>
      <c r="E126" s="55">
        <v>3.31</v>
      </c>
      <c r="F126" s="55">
        <v>4.5999999999999996</v>
      </c>
      <c r="G126" s="55" t="s">
        <v>267</v>
      </c>
      <c r="H126" s="55">
        <v>3.99</v>
      </c>
      <c r="I126" s="55">
        <v>3.21</v>
      </c>
      <c r="J126" s="55">
        <v>3.24</v>
      </c>
      <c r="K126" s="55">
        <v>3.65</v>
      </c>
      <c r="L126" s="55">
        <v>3.06</v>
      </c>
      <c r="M126" s="55">
        <v>3.53</v>
      </c>
      <c r="N126" s="55">
        <v>3.22</v>
      </c>
    </row>
    <row r="127" spans="2:14" x14ac:dyDescent="0.35">
      <c r="B127" s="55">
        <v>3.16</v>
      </c>
      <c r="C127" s="55">
        <v>2.42</v>
      </c>
      <c r="D127" s="55">
        <v>2.99</v>
      </c>
      <c r="E127" s="55">
        <v>3.04</v>
      </c>
      <c r="F127" s="55">
        <v>3.35</v>
      </c>
      <c r="G127" s="55" t="s">
        <v>344</v>
      </c>
      <c r="H127" s="55">
        <v>3.82</v>
      </c>
      <c r="I127" s="55">
        <v>3.14</v>
      </c>
      <c r="J127" s="55">
        <v>3.87</v>
      </c>
      <c r="K127" s="55">
        <v>3.84</v>
      </c>
      <c r="L127" s="55">
        <v>3.19</v>
      </c>
      <c r="M127" s="55">
        <v>3.92</v>
      </c>
      <c r="N127" s="55">
        <v>3.8</v>
      </c>
    </row>
    <row r="128" spans="2:14" x14ac:dyDescent="0.35">
      <c r="B128" s="55">
        <v>3.13</v>
      </c>
      <c r="C128" s="55">
        <v>2.74</v>
      </c>
      <c r="D128" s="55">
        <v>3.84</v>
      </c>
      <c r="E128" s="55">
        <v>2.54</v>
      </c>
      <c r="F128" s="55">
        <v>3.26</v>
      </c>
      <c r="G128" s="55" t="s">
        <v>454</v>
      </c>
      <c r="H128" s="55">
        <v>5.69</v>
      </c>
      <c r="I128" s="55">
        <v>5.17</v>
      </c>
      <c r="J128" s="55">
        <v>6.09</v>
      </c>
      <c r="K128" s="55">
        <v>6.61</v>
      </c>
      <c r="L128" s="55">
        <v>4.4800000000000004</v>
      </c>
      <c r="M128" s="55">
        <v>3.03</v>
      </c>
      <c r="N128" s="55">
        <v>2.71</v>
      </c>
    </row>
    <row r="129" spans="2:14" x14ac:dyDescent="0.35">
      <c r="B129" s="55">
        <v>3.08</v>
      </c>
      <c r="C129" s="55">
        <v>2.59</v>
      </c>
      <c r="D129" s="55">
        <v>2.48</v>
      </c>
      <c r="E129" s="55">
        <v>2.2999999999999998</v>
      </c>
      <c r="F129" s="55">
        <v>2.65</v>
      </c>
      <c r="G129" s="55" t="s">
        <v>453</v>
      </c>
      <c r="H129" s="55">
        <v>2.89</v>
      </c>
      <c r="I129" s="55">
        <v>2.5299999999999998</v>
      </c>
      <c r="J129" s="55">
        <v>3.59</v>
      </c>
      <c r="K129" s="55">
        <v>4.51</v>
      </c>
      <c r="L129" s="55">
        <v>4.54</v>
      </c>
      <c r="M129" s="55">
        <v>4.79</v>
      </c>
      <c r="N129" s="55">
        <v>4.33</v>
      </c>
    </row>
    <row r="130" spans="2:14" x14ac:dyDescent="0.35">
      <c r="B130" s="55">
        <v>3.05</v>
      </c>
      <c r="C130" s="55">
        <v>2.77</v>
      </c>
      <c r="D130" s="55">
        <v>3.55</v>
      </c>
      <c r="E130" s="55">
        <v>3.22</v>
      </c>
      <c r="F130" s="55">
        <v>4.22</v>
      </c>
      <c r="G130" s="55" t="s">
        <v>452</v>
      </c>
      <c r="H130" s="55">
        <v>4.07</v>
      </c>
      <c r="I130" s="55">
        <v>3.57</v>
      </c>
      <c r="J130" s="55">
        <v>3.78</v>
      </c>
      <c r="K130" s="55">
        <v>3.82</v>
      </c>
      <c r="L130" s="55">
        <v>3.37</v>
      </c>
      <c r="M130" s="55">
        <v>3.31</v>
      </c>
      <c r="N130" s="55">
        <v>3.07</v>
      </c>
    </row>
    <row r="131" spans="2:14" x14ac:dyDescent="0.35">
      <c r="B131" s="55">
        <v>3.02</v>
      </c>
      <c r="C131" s="55">
        <v>2.2999999999999998</v>
      </c>
      <c r="D131" s="55">
        <v>2.14</v>
      </c>
      <c r="E131" s="55">
        <v>3.71</v>
      </c>
      <c r="F131" s="55">
        <v>5.29</v>
      </c>
      <c r="G131" s="55" t="s">
        <v>222</v>
      </c>
      <c r="H131" s="55">
        <v>3.52</v>
      </c>
      <c r="I131" s="55">
        <v>4.16</v>
      </c>
      <c r="J131" s="55">
        <v>5.22</v>
      </c>
      <c r="K131" s="55">
        <v>5.6</v>
      </c>
      <c r="L131" s="55">
        <v>5.0599999999999996</v>
      </c>
      <c r="M131" s="55">
        <v>6.17</v>
      </c>
      <c r="N131" s="55">
        <v>4.57</v>
      </c>
    </row>
    <row r="132" spans="2:14" x14ac:dyDescent="0.35">
      <c r="B132" s="55">
        <v>2.98</v>
      </c>
      <c r="C132" s="55">
        <v>3.11</v>
      </c>
      <c r="D132" s="55">
        <v>2.4</v>
      </c>
      <c r="E132" s="55">
        <v>0.63</v>
      </c>
      <c r="F132" s="55">
        <v>0.24</v>
      </c>
      <c r="G132" s="55" t="s">
        <v>451</v>
      </c>
      <c r="H132" s="55">
        <v>0.08</v>
      </c>
      <c r="I132" s="55">
        <v>0.03</v>
      </c>
      <c r="J132" s="55">
        <v>0.14000000000000001</v>
      </c>
      <c r="K132" s="55">
        <v>0.26</v>
      </c>
      <c r="L132" s="55">
        <v>0.36</v>
      </c>
      <c r="M132" s="55">
        <v>1.1299999999999999</v>
      </c>
      <c r="N132" s="55">
        <v>1.79</v>
      </c>
    </row>
    <row r="133" spans="2:14" x14ac:dyDescent="0.35">
      <c r="B133" s="55">
        <v>2.97</v>
      </c>
      <c r="C133" s="55">
        <v>2.06</v>
      </c>
      <c r="D133" s="55">
        <v>2.57</v>
      </c>
      <c r="E133" s="55">
        <v>2.64</v>
      </c>
      <c r="F133" s="55">
        <v>3.27</v>
      </c>
      <c r="G133" s="55" t="s">
        <v>450</v>
      </c>
      <c r="H133" s="55">
        <v>3.31</v>
      </c>
      <c r="I133" s="55">
        <v>3.89</v>
      </c>
      <c r="J133" s="55">
        <v>4.1500000000000004</v>
      </c>
      <c r="K133" s="55">
        <v>3.27</v>
      </c>
      <c r="L133" s="55">
        <v>2.99</v>
      </c>
      <c r="M133" s="55">
        <v>3.12</v>
      </c>
      <c r="N133" s="55">
        <v>3.19</v>
      </c>
    </row>
    <row r="134" spans="2:14" x14ac:dyDescent="0.35">
      <c r="B134" s="55">
        <v>2.97</v>
      </c>
      <c r="C134" s="55">
        <v>2.36</v>
      </c>
      <c r="D134" s="55">
        <v>3.04</v>
      </c>
      <c r="E134" s="55">
        <v>3.07</v>
      </c>
      <c r="F134" s="55">
        <v>3.33</v>
      </c>
      <c r="G134" s="55" t="s">
        <v>330</v>
      </c>
      <c r="H134" s="55">
        <v>3.1</v>
      </c>
      <c r="I134" s="55">
        <v>3.37</v>
      </c>
      <c r="J134" s="55">
        <v>3.21</v>
      </c>
      <c r="K134" s="55">
        <v>3.16</v>
      </c>
      <c r="L134" s="55">
        <v>3.46</v>
      </c>
      <c r="M134" s="55">
        <v>3.57</v>
      </c>
      <c r="N134" s="55">
        <v>2.96</v>
      </c>
    </row>
    <row r="135" spans="2:14" x14ac:dyDescent="0.35">
      <c r="B135" s="55">
        <v>2.95</v>
      </c>
      <c r="C135" s="55">
        <v>3.01</v>
      </c>
      <c r="D135" s="55">
        <v>2.4300000000000002</v>
      </c>
      <c r="E135" s="55">
        <v>0.6</v>
      </c>
      <c r="F135" s="55">
        <v>0.23</v>
      </c>
      <c r="G135" s="55" t="s">
        <v>449</v>
      </c>
      <c r="H135" s="55">
        <v>0.08</v>
      </c>
      <c r="I135" s="55">
        <v>0.02</v>
      </c>
      <c r="J135" s="55">
        <v>0.1</v>
      </c>
      <c r="K135" s="55">
        <v>0.24</v>
      </c>
      <c r="L135" s="55">
        <v>0.4</v>
      </c>
      <c r="M135" s="55">
        <v>1.1200000000000001</v>
      </c>
      <c r="N135" s="55">
        <v>1.76</v>
      </c>
    </row>
    <row r="136" spans="2:14" x14ac:dyDescent="0.35">
      <c r="B136" s="55">
        <v>2.92</v>
      </c>
      <c r="C136" s="55">
        <v>2.75</v>
      </c>
      <c r="D136" s="55">
        <v>3.9</v>
      </c>
      <c r="E136" s="55">
        <v>3.96</v>
      </c>
      <c r="F136" s="55">
        <v>4.59</v>
      </c>
      <c r="G136" s="55" t="s">
        <v>306</v>
      </c>
      <c r="H136" s="55">
        <v>4.42</v>
      </c>
      <c r="I136" s="55">
        <v>3.75</v>
      </c>
      <c r="J136" s="55">
        <v>3.79</v>
      </c>
      <c r="K136" s="55">
        <v>2.82</v>
      </c>
      <c r="L136" s="55">
        <v>2.96</v>
      </c>
      <c r="M136" s="55">
        <v>3.46</v>
      </c>
      <c r="N136" s="55">
        <v>3.28</v>
      </c>
    </row>
    <row r="137" spans="2:14" x14ac:dyDescent="0.35">
      <c r="B137" s="55">
        <v>2.91</v>
      </c>
      <c r="C137" s="55">
        <v>3.1</v>
      </c>
      <c r="D137" s="55">
        <v>4.29</v>
      </c>
      <c r="E137" s="55">
        <v>4.4800000000000004</v>
      </c>
      <c r="F137" s="55">
        <v>5.01</v>
      </c>
      <c r="G137" s="55" t="s">
        <v>316</v>
      </c>
      <c r="H137" s="55">
        <v>4.0999999999999996</v>
      </c>
      <c r="I137" s="55">
        <v>3.75</v>
      </c>
      <c r="J137" s="55">
        <v>3.14</v>
      </c>
      <c r="K137" s="55">
        <v>2.99</v>
      </c>
      <c r="L137" s="55">
        <v>2.78</v>
      </c>
      <c r="M137" s="55">
        <v>4.18</v>
      </c>
      <c r="N137" s="55">
        <v>3.54</v>
      </c>
    </row>
    <row r="138" spans="2:14" x14ac:dyDescent="0.35">
      <c r="B138" s="55">
        <v>2.89</v>
      </c>
      <c r="C138" s="55">
        <v>2.4500000000000002</v>
      </c>
      <c r="D138" s="55">
        <v>4.2</v>
      </c>
      <c r="E138" s="55">
        <v>2.88</v>
      </c>
      <c r="F138" s="55">
        <v>3.8</v>
      </c>
      <c r="G138" s="55" t="s">
        <v>448</v>
      </c>
      <c r="H138" s="55">
        <v>6.03</v>
      </c>
      <c r="I138" s="55">
        <v>6.53</v>
      </c>
      <c r="J138" s="55">
        <v>6.04</v>
      </c>
      <c r="K138" s="55">
        <v>6.84</v>
      </c>
      <c r="L138" s="55">
        <v>5.04</v>
      </c>
      <c r="M138" s="55">
        <v>3.04</v>
      </c>
      <c r="N138" s="55">
        <v>2.19</v>
      </c>
    </row>
    <row r="139" spans="2:14" x14ac:dyDescent="0.35">
      <c r="B139" s="55">
        <v>2.85</v>
      </c>
      <c r="C139" s="55">
        <v>2.61</v>
      </c>
      <c r="D139" s="55">
        <v>3.21</v>
      </c>
      <c r="E139" s="55">
        <v>3.49</v>
      </c>
      <c r="F139" s="55">
        <v>3.79</v>
      </c>
      <c r="G139" s="55" t="s">
        <v>447</v>
      </c>
      <c r="H139" s="55">
        <v>4.45</v>
      </c>
      <c r="I139" s="55">
        <v>4.08</v>
      </c>
      <c r="J139" s="55">
        <v>3.38</v>
      </c>
      <c r="K139" s="55">
        <v>3.98</v>
      </c>
      <c r="L139" s="55">
        <v>3.19</v>
      </c>
      <c r="M139" s="55">
        <v>3.62</v>
      </c>
      <c r="N139" s="55">
        <v>2.94</v>
      </c>
    </row>
    <row r="140" spans="2:14" x14ac:dyDescent="0.35">
      <c r="B140" s="55">
        <v>2.73</v>
      </c>
      <c r="C140" s="55">
        <v>2.35</v>
      </c>
      <c r="D140" s="55">
        <v>1.89</v>
      </c>
      <c r="E140" s="55">
        <v>1.1100000000000001</v>
      </c>
      <c r="F140" s="55">
        <v>0.78</v>
      </c>
      <c r="G140" s="55" t="s">
        <v>297</v>
      </c>
      <c r="H140" s="55">
        <v>0.43</v>
      </c>
      <c r="I140" s="55">
        <v>0.5</v>
      </c>
      <c r="J140" s="55">
        <v>0.46</v>
      </c>
      <c r="K140" s="55">
        <v>0.74</v>
      </c>
      <c r="L140" s="55">
        <v>2.1800000000000002</v>
      </c>
      <c r="M140" s="55">
        <v>2.2599999999999998</v>
      </c>
      <c r="N140" s="55">
        <v>2.85</v>
      </c>
    </row>
    <row r="141" spans="2:14" x14ac:dyDescent="0.35">
      <c r="B141" s="55">
        <v>2.71</v>
      </c>
      <c r="C141" s="55">
        <v>2.27</v>
      </c>
      <c r="D141" s="55">
        <v>3.17</v>
      </c>
      <c r="E141" s="55">
        <v>3.25</v>
      </c>
      <c r="F141" s="55">
        <v>3.67</v>
      </c>
      <c r="G141" s="55" t="s">
        <v>367</v>
      </c>
      <c r="H141" s="55">
        <v>3.74</v>
      </c>
      <c r="I141" s="55">
        <v>3.5</v>
      </c>
      <c r="J141" s="55">
        <v>3.68</v>
      </c>
      <c r="K141" s="55">
        <v>3.31</v>
      </c>
      <c r="L141" s="55">
        <v>3.23</v>
      </c>
      <c r="M141" s="55">
        <v>3.31</v>
      </c>
      <c r="N141" s="55">
        <v>2.76</v>
      </c>
    </row>
    <row r="142" spans="2:14" x14ac:dyDescent="0.35">
      <c r="B142" s="55">
        <v>2.71</v>
      </c>
      <c r="C142" s="55">
        <v>2.46</v>
      </c>
      <c r="D142" s="55">
        <v>2.2799999999999998</v>
      </c>
      <c r="E142" s="55">
        <v>0.96</v>
      </c>
      <c r="F142" s="55">
        <v>0.5</v>
      </c>
      <c r="G142" s="55" t="s">
        <v>446</v>
      </c>
      <c r="H142" s="55">
        <v>0.09</v>
      </c>
      <c r="I142" s="55">
        <v>0.05</v>
      </c>
      <c r="J142" s="55">
        <v>0.05</v>
      </c>
      <c r="K142" s="55">
        <v>0.33</v>
      </c>
      <c r="L142" s="55">
        <v>0.82</v>
      </c>
      <c r="M142" s="55">
        <v>1.77</v>
      </c>
      <c r="N142" s="55">
        <v>1.82</v>
      </c>
    </row>
    <row r="143" spans="2:14" x14ac:dyDescent="0.35">
      <c r="B143" s="55">
        <v>2.7</v>
      </c>
      <c r="C143" s="55">
        <v>2.37</v>
      </c>
      <c r="D143" s="55">
        <v>3.17</v>
      </c>
      <c r="E143" s="55">
        <v>3.01</v>
      </c>
      <c r="F143" s="55">
        <v>3.8</v>
      </c>
      <c r="G143" s="55" t="s">
        <v>243</v>
      </c>
      <c r="H143" s="55">
        <v>4.12</v>
      </c>
      <c r="I143" s="55">
        <v>3.96</v>
      </c>
      <c r="J143" s="55">
        <v>3.38</v>
      </c>
      <c r="K143" s="55">
        <v>3.21</v>
      </c>
      <c r="L143" s="55">
        <v>2.25</v>
      </c>
      <c r="M143" s="55">
        <v>3.02</v>
      </c>
      <c r="N143" s="55">
        <v>2.86</v>
      </c>
    </row>
    <row r="144" spans="2:14" x14ac:dyDescent="0.35">
      <c r="B144" s="55">
        <v>2.64</v>
      </c>
      <c r="C144" s="55">
        <v>3.23</v>
      </c>
      <c r="D144" s="55">
        <v>2.94</v>
      </c>
      <c r="E144" s="55">
        <v>0.91</v>
      </c>
      <c r="F144" s="55">
        <v>0.32</v>
      </c>
      <c r="G144" s="55" t="s">
        <v>445</v>
      </c>
      <c r="H144" s="55">
        <v>0.05</v>
      </c>
      <c r="I144" s="55">
        <v>0.03</v>
      </c>
      <c r="J144" s="55">
        <v>0.05</v>
      </c>
      <c r="K144" s="55">
        <v>0.31</v>
      </c>
      <c r="L144" s="55">
        <v>0.45</v>
      </c>
      <c r="M144" s="55">
        <v>1.24</v>
      </c>
      <c r="N144" s="55">
        <v>1.84</v>
      </c>
    </row>
    <row r="145" spans="2:14" x14ac:dyDescent="0.35">
      <c r="B145" s="55">
        <v>2.64</v>
      </c>
      <c r="C145" s="55">
        <v>1.6</v>
      </c>
      <c r="D145" s="55">
        <v>2.41</v>
      </c>
      <c r="E145" s="55">
        <v>2.57</v>
      </c>
      <c r="F145" s="55">
        <v>2.5</v>
      </c>
      <c r="G145" s="55" t="s">
        <v>221</v>
      </c>
      <c r="H145" s="55">
        <v>3</v>
      </c>
      <c r="I145" s="55">
        <v>3.14</v>
      </c>
      <c r="J145" s="55">
        <v>3.47</v>
      </c>
      <c r="K145" s="55">
        <v>3.71</v>
      </c>
      <c r="L145" s="55">
        <v>3.32</v>
      </c>
      <c r="M145" s="55">
        <v>3.4</v>
      </c>
      <c r="N145" s="55">
        <v>2.91</v>
      </c>
    </row>
    <row r="146" spans="2:14" x14ac:dyDescent="0.35">
      <c r="B146" s="55">
        <v>2.63</v>
      </c>
      <c r="C146" s="55">
        <v>2.17</v>
      </c>
      <c r="D146" s="55">
        <v>3.36</v>
      </c>
      <c r="E146" s="55">
        <v>4.17</v>
      </c>
      <c r="F146" s="55">
        <v>4.42</v>
      </c>
      <c r="G146" s="55" t="s">
        <v>444</v>
      </c>
      <c r="H146" s="55">
        <v>4.5199999999999996</v>
      </c>
      <c r="I146" s="55">
        <v>4.22</v>
      </c>
      <c r="J146" s="55">
        <v>4.5999999999999996</v>
      </c>
      <c r="K146" s="55">
        <v>3.44</v>
      </c>
      <c r="L146" s="55">
        <v>2.68</v>
      </c>
      <c r="M146" s="55">
        <v>3.76</v>
      </c>
      <c r="N146" s="55">
        <v>3.26</v>
      </c>
    </row>
    <row r="147" spans="2:14" x14ac:dyDescent="0.35">
      <c r="B147" s="55">
        <v>2.61</v>
      </c>
      <c r="C147" s="55">
        <v>2.04</v>
      </c>
      <c r="D147" s="55">
        <v>1.82</v>
      </c>
      <c r="E147" s="55">
        <v>1.21</v>
      </c>
      <c r="F147" s="55">
        <v>1.07</v>
      </c>
      <c r="G147" s="55" t="s">
        <v>443</v>
      </c>
      <c r="H147" s="55">
        <v>0.96</v>
      </c>
      <c r="I147" s="55">
        <v>1.45</v>
      </c>
      <c r="J147" s="55">
        <v>2.2799999999999998</v>
      </c>
      <c r="K147" s="55">
        <v>3.37</v>
      </c>
      <c r="L147" s="55">
        <v>2.77</v>
      </c>
      <c r="M147" s="55">
        <v>2.87</v>
      </c>
      <c r="N147" s="55">
        <v>3</v>
      </c>
    </row>
    <row r="148" spans="2:14" x14ac:dyDescent="0.35">
      <c r="B148" s="55">
        <v>2.6</v>
      </c>
      <c r="C148" s="55">
        <v>2.29</v>
      </c>
      <c r="D148" s="55">
        <v>3.29</v>
      </c>
      <c r="E148" s="55">
        <v>4.03</v>
      </c>
      <c r="F148" s="55">
        <v>4.17</v>
      </c>
      <c r="G148" s="55" t="s">
        <v>326</v>
      </c>
      <c r="H148" s="55">
        <v>4.21</v>
      </c>
      <c r="I148" s="55">
        <v>3.75</v>
      </c>
      <c r="J148" s="55">
        <v>3.49</v>
      </c>
      <c r="K148" s="55">
        <v>2.65</v>
      </c>
      <c r="L148" s="55">
        <v>2.72</v>
      </c>
      <c r="M148" s="55">
        <v>3.3</v>
      </c>
      <c r="N148" s="55">
        <v>3.08</v>
      </c>
    </row>
    <row r="149" spans="2:14" x14ac:dyDescent="0.35">
      <c r="B149" s="55">
        <v>2.6</v>
      </c>
      <c r="C149" s="55">
        <v>1.85</v>
      </c>
      <c r="D149" s="55">
        <v>3.13</v>
      </c>
      <c r="E149" s="55">
        <v>2.79</v>
      </c>
      <c r="F149" s="55">
        <v>3.07</v>
      </c>
      <c r="G149" s="55" t="s">
        <v>270</v>
      </c>
      <c r="H149" s="55">
        <v>3.21</v>
      </c>
      <c r="I149" s="55">
        <v>3.01</v>
      </c>
      <c r="J149" s="55">
        <v>3.55</v>
      </c>
      <c r="K149" s="55">
        <v>3.74</v>
      </c>
      <c r="L149" s="55">
        <v>3.66</v>
      </c>
      <c r="M149" s="55">
        <v>3.27</v>
      </c>
      <c r="N149" s="55">
        <v>2.4300000000000002</v>
      </c>
    </row>
    <row r="150" spans="2:14" x14ac:dyDescent="0.35">
      <c r="B150" s="55">
        <v>2.6</v>
      </c>
      <c r="C150" s="55">
        <v>2.12</v>
      </c>
      <c r="D150" s="55">
        <v>3.02</v>
      </c>
      <c r="E150" s="55">
        <v>3.39</v>
      </c>
      <c r="F150" s="55">
        <v>3.39</v>
      </c>
      <c r="G150" s="55" t="s">
        <v>210</v>
      </c>
      <c r="H150" s="55">
        <v>3.71</v>
      </c>
      <c r="I150" s="55">
        <v>4.0199999999999996</v>
      </c>
      <c r="J150" s="55">
        <v>3.56</v>
      </c>
      <c r="K150" s="55">
        <v>4.1500000000000004</v>
      </c>
      <c r="L150" s="55">
        <v>3.2</v>
      </c>
      <c r="M150" s="55">
        <v>3.77</v>
      </c>
      <c r="N150" s="55">
        <v>3.12</v>
      </c>
    </row>
    <row r="151" spans="2:14" x14ac:dyDescent="0.35">
      <c r="B151" s="55">
        <v>2.58</v>
      </c>
      <c r="C151" s="55">
        <v>2.46</v>
      </c>
      <c r="D151" s="55">
        <v>2.97</v>
      </c>
      <c r="E151" s="55">
        <v>3.49</v>
      </c>
      <c r="F151" s="55">
        <v>3.55</v>
      </c>
      <c r="G151" s="55" t="s">
        <v>352</v>
      </c>
      <c r="H151" s="55">
        <v>3.8</v>
      </c>
      <c r="I151" s="55">
        <v>3.49</v>
      </c>
      <c r="J151" s="55">
        <v>3.35</v>
      </c>
      <c r="K151" s="55">
        <v>3.59</v>
      </c>
      <c r="L151" s="55">
        <v>3.02</v>
      </c>
      <c r="M151" s="55">
        <v>3.32</v>
      </c>
      <c r="N151" s="55">
        <v>3.03</v>
      </c>
    </row>
    <row r="152" spans="2:14" x14ac:dyDescent="0.35">
      <c r="B152" s="55">
        <v>2.5299999999999998</v>
      </c>
      <c r="C152" s="55">
        <v>2.2000000000000002</v>
      </c>
      <c r="D152" s="55">
        <v>2.89</v>
      </c>
      <c r="E152" s="55">
        <v>3.25</v>
      </c>
      <c r="F152" s="55">
        <v>3.88</v>
      </c>
      <c r="G152" s="55" t="s">
        <v>331</v>
      </c>
      <c r="H152" s="55">
        <v>4.07</v>
      </c>
      <c r="I152" s="55">
        <v>4.6100000000000003</v>
      </c>
      <c r="J152" s="55">
        <v>3.72</v>
      </c>
      <c r="K152" s="55">
        <v>2.92</v>
      </c>
      <c r="L152" s="55">
        <v>2.31</v>
      </c>
      <c r="M152" s="55">
        <v>3.19</v>
      </c>
      <c r="N152" s="55">
        <v>2.93</v>
      </c>
    </row>
    <row r="153" spans="2:14" x14ac:dyDescent="0.35">
      <c r="B153" s="55">
        <v>2.5299999999999998</v>
      </c>
      <c r="C153" s="55">
        <v>2.2799999999999998</v>
      </c>
      <c r="D153" s="55">
        <v>3.13</v>
      </c>
      <c r="E153" s="55">
        <v>3.38</v>
      </c>
      <c r="F153" s="55">
        <v>3.34</v>
      </c>
      <c r="G153" s="55" t="s">
        <v>442</v>
      </c>
      <c r="H153" s="55">
        <v>4.28</v>
      </c>
      <c r="I153" s="55">
        <v>3.28</v>
      </c>
      <c r="J153" s="55">
        <v>4.21</v>
      </c>
      <c r="K153" s="55">
        <v>4.7300000000000004</v>
      </c>
      <c r="L153" s="55">
        <v>3.92</v>
      </c>
      <c r="M153" s="55">
        <v>3.96</v>
      </c>
      <c r="N153" s="55">
        <v>3.73</v>
      </c>
    </row>
    <row r="154" spans="2:14" x14ac:dyDescent="0.35">
      <c r="B154" s="55">
        <v>2.4900000000000002</v>
      </c>
      <c r="C154" s="55">
        <v>2.2799999999999998</v>
      </c>
      <c r="D154" s="55">
        <v>3.15</v>
      </c>
      <c r="E154" s="55">
        <v>3.39</v>
      </c>
      <c r="F154" s="55">
        <v>3.96</v>
      </c>
      <c r="G154" s="55" t="s">
        <v>441</v>
      </c>
      <c r="H154" s="55">
        <v>3.55</v>
      </c>
      <c r="I154" s="55">
        <v>4.0199999999999996</v>
      </c>
      <c r="J154" s="55">
        <v>3.65</v>
      </c>
      <c r="K154" s="55">
        <v>3.43</v>
      </c>
      <c r="L154" s="55">
        <v>2.5299999999999998</v>
      </c>
      <c r="M154" s="55">
        <v>3.04</v>
      </c>
      <c r="N154" s="55">
        <v>2.98</v>
      </c>
    </row>
    <row r="155" spans="2:14" x14ac:dyDescent="0.35">
      <c r="B155" s="55">
        <v>2.48</v>
      </c>
      <c r="C155" s="55">
        <v>2.29</v>
      </c>
      <c r="D155" s="55">
        <v>2.94</v>
      </c>
      <c r="E155" s="55">
        <v>3.37</v>
      </c>
      <c r="F155" s="55">
        <v>3.5</v>
      </c>
      <c r="G155" s="55" t="s">
        <v>334</v>
      </c>
      <c r="H155" s="55">
        <v>3.89</v>
      </c>
      <c r="I155" s="55">
        <v>3.52</v>
      </c>
      <c r="J155" s="55">
        <v>3.69</v>
      </c>
      <c r="K155" s="55">
        <v>3.77</v>
      </c>
      <c r="L155" s="55">
        <v>2.73</v>
      </c>
      <c r="M155" s="55">
        <v>3.38</v>
      </c>
      <c r="N155" s="55">
        <v>3.14</v>
      </c>
    </row>
    <row r="156" spans="2:14" x14ac:dyDescent="0.35">
      <c r="B156" s="55">
        <v>2.48</v>
      </c>
      <c r="C156" s="55">
        <v>2.41</v>
      </c>
      <c r="D156" s="55">
        <v>3.44</v>
      </c>
      <c r="E156" s="55">
        <v>3.61</v>
      </c>
      <c r="F156" s="55">
        <v>4.3499999999999996</v>
      </c>
      <c r="G156" s="55" t="s">
        <v>294</v>
      </c>
      <c r="H156" s="55">
        <v>4.13</v>
      </c>
      <c r="I156" s="55">
        <v>4.42</v>
      </c>
      <c r="J156" s="55">
        <v>3.82</v>
      </c>
      <c r="K156" s="55">
        <v>2.88</v>
      </c>
      <c r="L156" s="55">
        <v>2.76</v>
      </c>
      <c r="M156" s="55">
        <v>3.61</v>
      </c>
      <c r="N156" s="55">
        <v>3.03</v>
      </c>
    </row>
    <row r="157" spans="2:14" x14ac:dyDescent="0.35">
      <c r="B157" s="55">
        <v>2.4700000000000002</v>
      </c>
      <c r="C157" s="55">
        <v>2.1</v>
      </c>
      <c r="D157" s="55">
        <v>1.85</v>
      </c>
      <c r="E157" s="55">
        <v>1.31</v>
      </c>
      <c r="F157" s="55">
        <v>1.21</v>
      </c>
      <c r="G157" s="55" t="s">
        <v>440</v>
      </c>
      <c r="H157" s="55">
        <v>0.68</v>
      </c>
      <c r="I157" s="55">
        <v>0.31</v>
      </c>
      <c r="J157" s="55">
        <v>0.52</v>
      </c>
      <c r="K157" s="55">
        <v>0.78</v>
      </c>
      <c r="L157" s="55">
        <v>1.31</v>
      </c>
      <c r="M157" s="55">
        <v>2.93</v>
      </c>
      <c r="N157" s="55">
        <v>2.9</v>
      </c>
    </row>
    <row r="158" spans="2:14" x14ac:dyDescent="0.35">
      <c r="B158" s="55">
        <v>2.46</v>
      </c>
      <c r="C158" s="55">
        <v>2.08</v>
      </c>
      <c r="D158" s="55">
        <v>2.69</v>
      </c>
      <c r="E158" s="55">
        <v>3.28</v>
      </c>
      <c r="F158" s="55">
        <v>3.69</v>
      </c>
      <c r="G158" s="55" t="s">
        <v>355</v>
      </c>
      <c r="H158" s="55">
        <v>3.97</v>
      </c>
      <c r="I158" s="55">
        <v>3.74</v>
      </c>
      <c r="J158" s="55">
        <v>3.1</v>
      </c>
      <c r="K158" s="55">
        <v>3.86</v>
      </c>
      <c r="L158" s="55">
        <v>3.02</v>
      </c>
      <c r="M158" s="55">
        <v>3.12</v>
      </c>
      <c r="N158" s="55">
        <v>2.5499999999999998</v>
      </c>
    </row>
    <row r="159" spans="2:14" x14ac:dyDescent="0.35">
      <c r="B159" s="55">
        <v>2.44</v>
      </c>
      <c r="C159" s="55">
        <v>2.04</v>
      </c>
      <c r="D159" s="55">
        <v>2.25</v>
      </c>
      <c r="E159" s="55">
        <v>2.97</v>
      </c>
      <c r="F159" s="55">
        <v>5.12</v>
      </c>
      <c r="G159" s="55" t="s">
        <v>439</v>
      </c>
      <c r="H159" s="55">
        <v>4.96</v>
      </c>
      <c r="I159" s="55">
        <v>2.9</v>
      </c>
      <c r="J159" s="55">
        <v>3.05</v>
      </c>
      <c r="K159" s="55">
        <v>5</v>
      </c>
      <c r="L159" s="55">
        <v>4.26</v>
      </c>
      <c r="M159" s="55">
        <v>2.64</v>
      </c>
      <c r="N159" s="55">
        <v>2.4700000000000002</v>
      </c>
    </row>
    <row r="160" spans="2:14" x14ac:dyDescent="0.35">
      <c r="B160" s="55">
        <v>2.4300000000000002</v>
      </c>
      <c r="C160" s="55">
        <v>2.35</v>
      </c>
      <c r="D160" s="55">
        <v>3.54</v>
      </c>
      <c r="E160" s="55">
        <v>2.42</v>
      </c>
      <c r="F160" s="55">
        <v>3.74</v>
      </c>
      <c r="G160" s="55" t="s">
        <v>438</v>
      </c>
      <c r="H160" s="55">
        <v>7.35</v>
      </c>
      <c r="I160" s="55">
        <v>7.15</v>
      </c>
      <c r="J160" s="55">
        <v>6.25</v>
      </c>
      <c r="K160" s="55">
        <v>5.76</v>
      </c>
      <c r="L160" s="55">
        <v>2.73</v>
      </c>
      <c r="M160" s="55">
        <v>2.3199999999999998</v>
      </c>
      <c r="N160" s="55">
        <v>2.31</v>
      </c>
    </row>
    <row r="161" spans="2:14" x14ac:dyDescent="0.35">
      <c r="B161" s="55">
        <v>2.37</v>
      </c>
      <c r="C161" s="55">
        <v>2.59</v>
      </c>
      <c r="D161" s="55">
        <v>3.94</v>
      </c>
      <c r="E161" s="55">
        <v>3.91</v>
      </c>
      <c r="F161" s="55">
        <v>5.29</v>
      </c>
      <c r="G161" s="55" t="s">
        <v>313</v>
      </c>
      <c r="H161" s="55">
        <v>4.28</v>
      </c>
      <c r="I161" s="55">
        <v>3.19</v>
      </c>
      <c r="J161" s="55">
        <v>2.56</v>
      </c>
      <c r="K161" s="55">
        <v>3.61</v>
      </c>
      <c r="L161" s="55">
        <v>3.94</v>
      </c>
      <c r="M161" s="55">
        <v>4.8</v>
      </c>
      <c r="N161" s="55">
        <v>3.39</v>
      </c>
    </row>
    <row r="162" spans="2:14" x14ac:dyDescent="0.35">
      <c r="B162" s="55">
        <v>2.34</v>
      </c>
      <c r="C162" s="55">
        <v>2.04</v>
      </c>
      <c r="D162" s="55">
        <v>2.58</v>
      </c>
      <c r="E162" s="55">
        <v>2.75</v>
      </c>
      <c r="F162" s="55">
        <v>2.82</v>
      </c>
      <c r="G162" s="55" t="s">
        <v>229</v>
      </c>
      <c r="H162" s="55">
        <v>3.36</v>
      </c>
      <c r="I162" s="55">
        <v>2.93</v>
      </c>
      <c r="J162" s="55">
        <v>3.54</v>
      </c>
      <c r="K162" s="55">
        <v>3.45</v>
      </c>
      <c r="L162" s="55">
        <v>2.6</v>
      </c>
      <c r="M162" s="55">
        <v>2.84</v>
      </c>
      <c r="N162" s="55">
        <v>2.73</v>
      </c>
    </row>
    <row r="163" spans="2:14" x14ac:dyDescent="0.35">
      <c r="B163" s="55">
        <v>2.34</v>
      </c>
      <c r="C163" s="55">
        <v>2.0299999999999998</v>
      </c>
      <c r="D163" s="55">
        <v>3.05</v>
      </c>
      <c r="E163" s="55">
        <v>3.33</v>
      </c>
      <c r="F163" s="55">
        <v>3.45</v>
      </c>
      <c r="G163" s="55" t="s">
        <v>437</v>
      </c>
      <c r="H163" s="55">
        <v>3.91</v>
      </c>
      <c r="I163" s="55">
        <v>4.0999999999999996</v>
      </c>
      <c r="J163" s="55">
        <v>3.43</v>
      </c>
      <c r="K163" s="55">
        <v>3.89</v>
      </c>
      <c r="L163" s="55">
        <v>2.46</v>
      </c>
      <c r="M163" s="55">
        <v>3.07</v>
      </c>
      <c r="N163" s="55">
        <v>2.96</v>
      </c>
    </row>
    <row r="164" spans="2:14" x14ac:dyDescent="0.35">
      <c r="B164" s="55">
        <v>2.2799999999999998</v>
      </c>
      <c r="C164" s="55">
        <v>2.04</v>
      </c>
      <c r="D164" s="55">
        <v>2.2599999999999998</v>
      </c>
      <c r="E164" s="55">
        <v>0.75</v>
      </c>
      <c r="F164" s="55">
        <v>0.2</v>
      </c>
      <c r="G164" s="55" t="s">
        <v>224</v>
      </c>
      <c r="H164" s="55">
        <v>0.09</v>
      </c>
      <c r="I164" s="55">
        <v>0.03</v>
      </c>
      <c r="J164" s="55">
        <v>0.09</v>
      </c>
      <c r="K164" s="55">
        <v>0.21</v>
      </c>
      <c r="L164" s="55">
        <v>0.44</v>
      </c>
      <c r="M164" s="55">
        <v>1.07</v>
      </c>
      <c r="N164" s="55">
        <v>1.31</v>
      </c>
    </row>
    <row r="165" spans="2:14" x14ac:dyDescent="0.35">
      <c r="B165" s="55">
        <v>2.27</v>
      </c>
      <c r="C165" s="55">
        <v>1.98</v>
      </c>
      <c r="D165" s="55">
        <v>2.89</v>
      </c>
      <c r="E165" s="55">
        <v>3.62</v>
      </c>
      <c r="F165" s="55">
        <v>3.5</v>
      </c>
      <c r="G165" s="55" t="s">
        <v>436</v>
      </c>
      <c r="H165" s="55">
        <v>4.1900000000000004</v>
      </c>
      <c r="I165" s="55">
        <v>3.73</v>
      </c>
      <c r="J165" s="55">
        <v>3.98</v>
      </c>
      <c r="K165" s="55">
        <v>3.79</v>
      </c>
      <c r="L165" s="55">
        <v>3.27</v>
      </c>
      <c r="M165" s="55">
        <v>3.39</v>
      </c>
      <c r="N165" s="55">
        <v>3.09</v>
      </c>
    </row>
    <row r="166" spans="2:14" x14ac:dyDescent="0.35">
      <c r="B166" s="55">
        <v>2.27</v>
      </c>
      <c r="C166" s="55">
        <v>2.67</v>
      </c>
      <c r="D166" s="55">
        <v>2.84</v>
      </c>
      <c r="E166" s="55">
        <v>1.8</v>
      </c>
      <c r="F166" s="55">
        <v>2.85</v>
      </c>
      <c r="G166" s="55" t="s">
        <v>209</v>
      </c>
      <c r="H166" s="55">
        <v>5.5</v>
      </c>
      <c r="I166" s="55">
        <v>6.49</v>
      </c>
      <c r="J166" s="55">
        <v>7.6</v>
      </c>
      <c r="K166" s="55">
        <v>6.54</v>
      </c>
      <c r="L166" s="55">
        <v>2.29</v>
      </c>
      <c r="M166" s="55">
        <v>1.62</v>
      </c>
      <c r="N166" s="55">
        <v>2.2999999999999998</v>
      </c>
    </row>
    <row r="167" spans="2:14" x14ac:dyDescent="0.35">
      <c r="B167" s="55">
        <v>2.25</v>
      </c>
      <c r="C167" s="55">
        <v>1.97</v>
      </c>
      <c r="D167" s="55">
        <v>2.2000000000000002</v>
      </c>
      <c r="E167" s="55">
        <v>1.83</v>
      </c>
      <c r="F167" s="55">
        <v>1.95</v>
      </c>
      <c r="G167" s="55" t="s">
        <v>435</v>
      </c>
      <c r="H167" s="55">
        <v>1.1499999999999999</v>
      </c>
      <c r="I167" s="55">
        <v>0.73</v>
      </c>
      <c r="J167" s="55">
        <v>0.84</v>
      </c>
      <c r="K167" s="55">
        <v>0.83</v>
      </c>
      <c r="L167" s="55">
        <v>1.77</v>
      </c>
      <c r="M167" s="55">
        <v>2.85</v>
      </c>
      <c r="N167" s="55">
        <v>2.5099999999999998</v>
      </c>
    </row>
    <row r="168" spans="2:14" x14ac:dyDescent="0.35">
      <c r="B168" s="55">
        <v>2.23</v>
      </c>
      <c r="C168" s="55">
        <v>2.1</v>
      </c>
      <c r="D168" s="55">
        <v>2.74</v>
      </c>
      <c r="E168" s="55">
        <v>1.67</v>
      </c>
      <c r="F168" s="55">
        <v>3.42</v>
      </c>
      <c r="G168" s="55" t="s">
        <v>434</v>
      </c>
      <c r="H168" s="55">
        <v>9.77</v>
      </c>
      <c r="I168" s="55">
        <v>8.98</v>
      </c>
      <c r="J168" s="55">
        <v>9.5399999999999991</v>
      </c>
      <c r="K168" s="55">
        <v>7.86</v>
      </c>
      <c r="L168" s="55">
        <v>2.59</v>
      </c>
      <c r="M168" s="55">
        <v>1.71</v>
      </c>
      <c r="N168" s="55">
        <v>1.58</v>
      </c>
    </row>
    <row r="169" spans="2:14" x14ac:dyDescent="0.35">
      <c r="B169" s="55">
        <v>2.2200000000000002</v>
      </c>
      <c r="C169" s="55">
        <v>1.67</v>
      </c>
      <c r="D169" s="55">
        <v>2.3199999999999998</v>
      </c>
      <c r="E169" s="55">
        <v>2.88</v>
      </c>
      <c r="F169" s="55">
        <v>3.32</v>
      </c>
      <c r="G169" s="55" t="s">
        <v>343</v>
      </c>
      <c r="H169" s="55">
        <v>3.43</v>
      </c>
      <c r="I169" s="55">
        <v>3.97</v>
      </c>
      <c r="J169" s="55">
        <v>4.01</v>
      </c>
      <c r="K169" s="55">
        <v>3.83</v>
      </c>
      <c r="L169" s="55">
        <v>3.12</v>
      </c>
      <c r="M169" s="55">
        <v>3.06</v>
      </c>
      <c r="N169" s="55">
        <v>2.2200000000000002</v>
      </c>
    </row>
    <row r="170" spans="2:14" x14ac:dyDescent="0.35">
      <c r="B170" s="55">
        <v>2.2200000000000002</v>
      </c>
      <c r="C170" s="55">
        <v>1.51</v>
      </c>
      <c r="D170" s="55">
        <v>1.86</v>
      </c>
      <c r="E170" s="55">
        <v>2.06</v>
      </c>
      <c r="F170" s="55">
        <v>3.48</v>
      </c>
      <c r="G170" s="55" t="s">
        <v>287</v>
      </c>
      <c r="H170" s="55">
        <v>4.57</v>
      </c>
      <c r="I170" s="55">
        <v>3.27</v>
      </c>
      <c r="J170" s="55">
        <v>5.4</v>
      </c>
      <c r="K170" s="55">
        <v>5.45</v>
      </c>
      <c r="L170" s="55">
        <v>4.34</v>
      </c>
      <c r="M170" s="55">
        <v>2.64</v>
      </c>
      <c r="N170" s="55">
        <v>2.14</v>
      </c>
    </row>
    <row r="171" spans="2:14" x14ac:dyDescent="0.35">
      <c r="B171" s="55">
        <v>2.2200000000000002</v>
      </c>
      <c r="C171" s="55">
        <v>1.58</v>
      </c>
      <c r="D171" s="55">
        <v>2.36</v>
      </c>
      <c r="E171" s="55">
        <v>2.91</v>
      </c>
      <c r="F171" s="55">
        <v>2.95</v>
      </c>
      <c r="G171" s="55" t="s">
        <v>433</v>
      </c>
      <c r="H171" s="55">
        <v>2.58</v>
      </c>
      <c r="I171" s="55">
        <v>2.3199999999999998</v>
      </c>
      <c r="J171" s="55">
        <v>3.77</v>
      </c>
      <c r="K171" s="55">
        <v>3.52</v>
      </c>
      <c r="L171" s="55">
        <v>2.8</v>
      </c>
      <c r="M171" s="55">
        <v>3.23</v>
      </c>
      <c r="N171" s="55">
        <v>2.64</v>
      </c>
    </row>
    <row r="172" spans="2:14" x14ac:dyDescent="0.35">
      <c r="B172" s="55">
        <v>2.2000000000000002</v>
      </c>
      <c r="C172" s="55">
        <v>1.73</v>
      </c>
      <c r="D172" s="55">
        <v>1.98</v>
      </c>
      <c r="E172" s="55">
        <v>2.77</v>
      </c>
      <c r="F172" s="55">
        <v>5.87</v>
      </c>
      <c r="G172" s="55" t="s">
        <v>357</v>
      </c>
      <c r="H172" s="55">
        <v>3.38</v>
      </c>
      <c r="I172" s="55">
        <v>1.61</v>
      </c>
      <c r="J172" s="55">
        <v>1.48</v>
      </c>
      <c r="K172" s="55">
        <v>2.63</v>
      </c>
      <c r="L172" s="55">
        <v>2.7</v>
      </c>
      <c r="M172" s="55">
        <v>2.61</v>
      </c>
      <c r="N172" s="55">
        <v>2.39</v>
      </c>
    </row>
    <row r="173" spans="2:14" x14ac:dyDescent="0.35">
      <c r="B173" s="55">
        <v>2.1800000000000002</v>
      </c>
      <c r="C173" s="55">
        <v>2.56</v>
      </c>
      <c r="D173" s="55">
        <v>2.62</v>
      </c>
      <c r="E173" s="55">
        <v>1.29</v>
      </c>
      <c r="F173" s="55">
        <v>0.8</v>
      </c>
      <c r="G173" s="55" t="s">
        <v>314</v>
      </c>
      <c r="H173" s="55">
        <v>0.43</v>
      </c>
      <c r="I173" s="55">
        <v>2.4</v>
      </c>
      <c r="J173" s="55">
        <v>2.89</v>
      </c>
      <c r="K173" s="55">
        <v>2.12</v>
      </c>
      <c r="L173" s="55">
        <v>1.93</v>
      </c>
      <c r="M173" s="55">
        <v>1.86</v>
      </c>
      <c r="N173" s="55">
        <v>1.83</v>
      </c>
    </row>
    <row r="174" spans="2:14" x14ac:dyDescent="0.35">
      <c r="B174" s="55">
        <v>2.16</v>
      </c>
      <c r="C174" s="55">
        <v>2.12</v>
      </c>
      <c r="D174" s="55">
        <v>2.2000000000000002</v>
      </c>
      <c r="E174" s="55">
        <v>0.76</v>
      </c>
      <c r="F174" s="55">
        <v>0.39</v>
      </c>
      <c r="G174" s="55" t="s">
        <v>311</v>
      </c>
      <c r="H174" s="55">
        <v>0.23</v>
      </c>
      <c r="I174" s="55">
        <v>0.01</v>
      </c>
      <c r="J174" s="55">
        <v>0.01</v>
      </c>
      <c r="K174" s="55">
        <v>0.26</v>
      </c>
      <c r="L174" s="55">
        <v>0.65</v>
      </c>
      <c r="M174" s="55">
        <v>1.1000000000000001</v>
      </c>
      <c r="N174" s="55">
        <v>1.34</v>
      </c>
    </row>
    <row r="175" spans="2:14" x14ac:dyDescent="0.35">
      <c r="B175" s="55">
        <v>2.14</v>
      </c>
      <c r="C175" s="55">
        <v>2.2799999999999998</v>
      </c>
      <c r="D175" s="55">
        <v>3.6</v>
      </c>
      <c r="E175" s="55">
        <v>3.69</v>
      </c>
      <c r="F175" s="55">
        <v>4.1100000000000003</v>
      </c>
      <c r="G175" s="55" t="s">
        <v>211</v>
      </c>
      <c r="H175" s="55">
        <v>3.76</v>
      </c>
      <c r="I175" s="55">
        <v>3.9</v>
      </c>
      <c r="J175" s="55">
        <v>2.98</v>
      </c>
      <c r="K175" s="55">
        <v>2.96</v>
      </c>
      <c r="L175" s="55">
        <v>2.76</v>
      </c>
      <c r="M175" s="55">
        <v>3.71</v>
      </c>
      <c r="N175" s="55">
        <v>2.86</v>
      </c>
    </row>
    <row r="176" spans="2:14" x14ac:dyDescent="0.35">
      <c r="B176" s="55">
        <v>2.11</v>
      </c>
      <c r="C176" s="55">
        <v>2.2799999999999998</v>
      </c>
      <c r="D176" s="55">
        <v>3.82</v>
      </c>
      <c r="E176" s="55">
        <v>4.3099999999999996</v>
      </c>
      <c r="F176" s="55">
        <v>4.57</v>
      </c>
      <c r="G176" s="55" t="s">
        <v>212</v>
      </c>
      <c r="H176" s="55">
        <v>5.0199999999999996</v>
      </c>
      <c r="I176" s="55">
        <v>3.56</v>
      </c>
      <c r="J176" s="55">
        <v>3.37</v>
      </c>
      <c r="K176" s="55">
        <v>4.83</v>
      </c>
      <c r="L176" s="55">
        <v>3.47</v>
      </c>
      <c r="M176" s="55">
        <v>4.46</v>
      </c>
      <c r="N176" s="55">
        <v>3.17</v>
      </c>
    </row>
    <row r="177" spans="2:14" x14ac:dyDescent="0.35">
      <c r="B177" s="55">
        <v>2.0499999999999998</v>
      </c>
      <c r="C177" s="55">
        <v>1.94</v>
      </c>
      <c r="D177" s="55">
        <v>2.86</v>
      </c>
      <c r="E177" s="55">
        <v>3.54</v>
      </c>
      <c r="F177" s="55">
        <v>3.75</v>
      </c>
      <c r="G177" s="55" t="s">
        <v>312</v>
      </c>
      <c r="H177" s="55">
        <v>4.04</v>
      </c>
      <c r="I177" s="55">
        <v>3.58</v>
      </c>
      <c r="J177" s="55">
        <v>3.6</v>
      </c>
      <c r="K177" s="55">
        <v>2.81</v>
      </c>
      <c r="L177" s="55">
        <v>2.63</v>
      </c>
      <c r="M177" s="55">
        <v>2.98</v>
      </c>
      <c r="N177" s="55">
        <v>2.77</v>
      </c>
    </row>
    <row r="178" spans="2:14" x14ac:dyDescent="0.35">
      <c r="B178" s="55">
        <v>2.0299999999999998</v>
      </c>
      <c r="C178" s="55">
        <v>1.53</v>
      </c>
      <c r="D178" s="55">
        <v>2.59</v>
      </c>
      <c r="E178" s="55">
        <v>3.48</v>
      </c>
      <c r="F178" s="55">
        <v>3.35</v>
      </c>
      <c r="G178" s="55" t="s">
        <v>308</v>
      </c>
      <c r="H178" s="55">
        <v>3.67</v>
      </c>
      <c r="I178" s="55">
        <v>3.56</v>
      </c>
      <c r="J178" s="55">
        <v>3.78</v>
      </c>
      <c r="K178" s="55">
        <v>4.28</v>
      </c>
      <c r="L178" s="55">
        <v>2.8</v>
      </c>
      <c r="M178" s="55">
        <v>3.35</v>
      </c>
      <c r="N178" s="55">
        <v>2.7</v>
      </c>
    </row>
    <row r="179" spans="2:14" x14ac:dyDescent="0.35">
      <c r="B179" s="55">
        <v>1.93</v>
      </c>
      <c r="C179" s="55">
        <v>1.88</v>
      </c>
      <c r="D179" s="55">
        <v>2.62</v>
      </c>
      <c r="E179" s="55">
        <v>3.24</v>
      </c>
      <c r="F179" s="55">
        <v>3.14</v>
      </c>
      <c r="G179" s="55" t="s">
        <v>208</v>
      </c>
      <c r="H179" s="55">
        <v>3.8</v>
      </c>
      <c r="I179" s="55">
        <v>2.8</v>
      </c>
      <c r="J179" s="55">
        <v>3.19</v>
      </c>
      <c r="K179" s="55">
        <v>2.84</v>
      </c>
      <c r="L179" s="55">
        <v>2.35</v>
      </c>
      <c r="M179" s="55">
        <v>2.78</v>
      </c>
      <c r="N179" s="55">
        <v>2.64</v>
      </c>
    </row>
    <row r="180" spans="2:14" x14ac:dyDescent="0.35">
      <c r="B180" s="55">
        <v>1.91</v>
      </c>
      <c r="C180" s="55">
        <v>1.88</v>
      </c>
      <c r="D180" s="55">
        <v>2.52</v>
      </c>
      <c r="E180" s="55">
        <v>3.05</v>
      </c>
      <c r="F180" s="55">
        <v>3.05</v>
      </c>
      <c r="G180" s="55" t="s">
        <v>323</v>
      </c>
      <c r="H180" s="55">
        <v>3.55</v>
      </c>
      <c r="I180" s="55">
        <v>3.16</v>
      </c>
      <c r="J180" s="55">
        <v>3.1</v>
      </c>
      <c r="K180" s="55">
        <v>3.27</v>
      </c>
      <c r="L180" s="55">
        <v>2.23</v>
      </c>
      <c r="M180" s="55">
        <v>2.66</v>
      </c>
      <c r="N180" s="55">
        <v>2.5099999999999998</v>
      </c>
    </row>
    <row r="181" spans="2:14" x14ac:dyDescent="0.35">
      <c r="B181" s="55">
        <v>1.9</v>
      </c>
      <c r="C181" s="55">
        <v>2.37</v>
      </c>
      <c r="D181" s="55">
        <v>3.06</v>
      </c>
      <c r="E181" s="55">
        <v>3.2</v>
      </c>
      <c r="F181" s="55">
        <v>5.15</v>
      </c>
      <c r="G181" s="55" t="s">
        <v>327</v>
      </c>
      <c r="H181" s="55">
        <v>3.23</v>
      </c>
      <c r="I181" s="55">
        <v>2.12</v>
      </c>
      <c r="J181" s="55">
        <v>2.0299999999999998</v>
      </c>
      <c r="K181" s="55">
        <v>2.42</v>
      </c>
      <c r="L181" s="55">
        <v>4.1100000000000003</v>
      </c>
      <c r="M181" s="55">
        <v>2.57</v>
      </c>
      <c r="N181" s="55">
        <v>2.57</v>
      </c>
    </row>
    <row r="182" spans="2:14" x14ac:dyDescent="0.35">
      <c r="B182" s="55">
        <v>1.9</v>
      </c>
      <c r="C182" s="55">
        <v>2.4300000000000002</v>
      </c>
      <c r="D182" s="55">
        <v>2.48</v>
      </c>
      <c r="E182" s="55">
        <v>2.99</v>
      </c>
      <c r="F182" s="55">
        <v>4.46</v>
      </c>
      <c r="G182" s="55" t="s">
        <v>432</v>
      </c>
      <c r="H182" s="55">
        <v>3.08</v>
      </c>
      <c r="I182" s="55">
        <v>2.23</v>
      </c>
      <c r="J182" s="55">
        <v>1.85</v>
      </c>
      <c r="K182" s="55">
        <v>2.88</v>
      </c>
      <c r="L182" s="55">
        <v>3.67</v>
      </c>
      <c r="M182" s="55">
        <v>2.61</v>
      </c>
      <c r="N182" s="55">
        <v>2.76</v>
      </c>
    </row>
    <row r="183" spans="2:14" x14ac:dyDescent="0.35">
      <c r="B183" s="55">
        <v>1.89</v>
      </c>
      <c r="C183" s="55">
        <v>1.99</v>
      </c>
      <c r="D183" s="55">
        <v>2.14</v>
      </c>
      <c r="E183" s="55">
        <v>2.5099999999999998</v>
      </c>
      <c r="F183" s="55">
        <v>5.03</v>
      </c>
      <c r="G183" s="55" t="s">
        <v>356</v>
      </c>
      <c r="H183" s="55">
        <v>3.81</v>
      </c>
      <c r="I183" s="55">
        <v>1.97</v>
      </c>
      <c r="J183" s="55">
        <v>2.31</v>
      </c>
      <c r="K183" s="55">
        <v>2.91</v>
      </c>
      <c r="L183" s="55">
        <v>3.97</v>
      </c>
      <c r="M183" s="55">
        <v>2.68</v>
      </c>
      <c r="N183" s="55">
        <v>2.44</v>
      </c>
    </row>
    <row r="184" spans="2:14" x14ac:dyDescent="0.35">
      <c r="B184" s="55">
        <v>1.89</v>
      </c>
      <c r="C184" s="55">
        <v>2.31</v>
      </c>
      <c r="D184" s="55">
        <v>3.13</v>
      </c>
      <c r="E184" s="55">
        <v>3.46</v>
      </c>
      <c r="F184" s="55">
        <v>5.3</v>
      </c>
      <c r="G184" s="55" t="s">
        <v>431</v>
      </c>
      <c r="H184" s="55">
        <v>3.92</v>
      </c>
      <c r="I184" s="55">
        <v>2.4300000000000002</v>
      </c>
      <c r="J184" s="55">
        <v>2.17</v>
      </c>
      <c r="K184" s="55">
        <v>2.65</v>
      </c>
      <c r="L184" s="55">
        <v>4.6500000000000004</v>
      </c>
      <c r="M184" s="55">
        <v>2.61</v>
      </c>
      <c r="N184" s="55">
        <v>2.5299999999999998</v>
      </c>
    </row>
    <row r="185" spans="2:14" x14ac:dyDescent="0.35">
      <c r="B185" s="55">
        <v>1.88</v>
      </c>
      <c r="C185" s="55">
        <v>2.0699999999999998</v>
      </c>
      <c r="D185" s="55">
        <v>2.56</v>
      </c>
      <c r="E185" s="55">
        <v>3.36</v>
      </c>
      <c r="F185" s="55">
        <v>5.52</v>
      </c>
      <c r="G185" s="55" t="s">
        <v>268</v>
      </c>
      <c r="H185" s="55">
        <v>8.5399999999999991</v>
      </c>
      <c r="I185" s="55">
        <v>5.79</v>
      </c>
      <c r="J185" s="55">
        <v>8.6300000000000008</v>
      </c>
      <c r="K185" s="55">
        <v>8.3800000000000008</v>
      </c>
      <c r="L185" s="55">
        <v>6.19</v>
      </c>
      <c r="M185" s="55">
        <v>3.43</v>
      </c>
      <c r="N185" s="55">
        <v>2.1800000000000002</v>
      </c>
    </row>
    <row r="186" spans="2:14" x14ac:dyDescent="0.35">
      <c r="B186" s="55">
        <v>1.85</v>
      </c>
      <c r="C186" s="55">
        <v>1.65</v>
      </c>
      <c r="D186" s="55">
        <v>2.59</v>
      </c>
      <c r="E186" s="55">
        <v>3.78</v>
      </c>
      <c r="F186" s="55">
        <v>3.06</v>
      </c>
      <c r="G186" s="55" t="s">
        <v>264</v>
      </c>
      <c r="H186" s="55">
        <v>3.56</v>
      </c>
      <c r="I186" s="55">
        <v>3.58</v>
      </c>
      <c r="J186" s="55">
        <v>4.03</v>
      </c>
      <c r="K186" s="55">
        <v>3.3</v>
      </c>
      <c r="L186" s="55">
        <v>2.4900000000000002</v>
      </c>
      <c r="M186" s="55">
        <v>2.7</v>
      </c>
      <c r="N186" s="55">
        <v>2.2200000000000002</v>
      </c>
    </row>
    <row r="187" spans="2:14" x14ac:dyDescent="0.35">
      <c r="B187" s="55">
        <v>1.82</v>
      </c>
      <c r="C187" s="55">
        <v>1.51</v>
      </c>
      <c r="D187" s="55">
        <v>1.53</v>
      </c>
      <c r="E187" s="55">
        <v>1.28</v>
      </c>
      <c r="F187" s="55">
        <v>1.6</v>
      </c>
      <c r="G187" s="55" t="s">
        <v>214</v>
      </c>
      <c r="H187" s="55">
        <v>1.18</v>
      </c>
      <c r="I187" s="55">
        <v>0.76</v>
      </c>
      <c r="J187" s="55">
        <v>0.68</v>
      </c>
      <c r="K187" s="55">
        <v>0.76</v>
      </c>
      <c r="L187" s="55">
        <v>1.06</v>
      </c>
      <c r="M187" s="55">
        <v>2.2400000000000002</v>
      </c>
      <c r="N187" s="55">
        <v>2.25</v>
      </c>
    </row>
    <row r="188" spans="2:14" x14ac:dyDescent="0.35">
      <c r="B188" s="55">
        <v>1.76</v>
      </c>
      <c r="C188" s="55">
        <v>1.35</v>
      </c>
      <c r="D188" s="55">
        <v>2.13</v>
      </c>
      <c r="E188" s="55">
        <v>2.31</v>
      </c>
      <c r="F188" s="55">
        <v>2.61</v>
      </c>
      <c r="G188" s="55" t="s">
        <v>364</v>
      </c>
      <c r="H188" s="55">
        <v>2.5299999999999998</v>
      </c>
      <c r="I188" s="55">
        <v>3.17</v>
      </c>
      <c r="J188" s="55">
        <v>3.5</v>
      </c>
      <c r="K188" s="55">
        <v>2.8</v>
      </c>
      <c r="L188" s="55">
        <v>2.33</v>
      </c>
      <c r="M188" s="55">
        <v>2.08</v>
      </c>
      <c r="N188" s="55">
        <v>1.83</v>
      </c>
    </row>
    <row r="189" spans="2:14" x14ac:dyDescent="0.35">
      <c r="B189" s="55">
        <v>1.75</v>
      </c>
      <c r="C189" s="55">
        <v>1.63</v>
      </c>
      <c r="D189" s="55">
        <v>2.65</v>
      </c>
      <c r="E189" s="55">
        <v>3.68</v>
      </c>
      <c r="F189" s="55">
        <v>3.38</v>
      </c>
      <c r="G189" s="55" t="s">
        <v>336</v>
      </c>
      <c r="H189" s="55">
        <v>3.63</v>
      </c>
      <c r="I189" s="55">
        <v>3.51</v>
      </c>
      <c r="J189" s="55">
        <v>4.62</v>
      </c>
      <c r="K189" s="55">
        <v>3.27</v>
      </c>
      <c r="L189" s="55">
        <v>2.71</v>
      </c>
      <c r="M189" s="55">
        <v>3.01</v>
      </c>
      <c r="N189" s="55">
        <v>2.4300000000000002</v>
      </c>
    </row>
    <row r="190" spans="2:14" x14ac:dyDescent="0.35">
      <c r="B190" s="55">
        <v>1.74</v>
      </c>
      <c r="C190" s="55">
        <v>1.25</v>
      </c>
      <c r="D190" s="55">
        <v>1.1200000000000001</v>
      </c>
      <c r="E190" s="55">
        <v>1.1200000000000001</v>
      </c>
      <c r="F190" s="55">
        <v>1.21</v>
      </c>
      <c r="G190" s="55" t="s">
        <v>430</v>
      </c>
      <c r="H190" s="55">
        <v>1.41</v>
      </c>
      <c r="I190" s="55">
        <v>1.91</v>
      </c>
      <c r="J190" s="55">
        <v>2.96</v>
      </c>
      <c r="K190" s="55">
        <v>2.79</v>
      </c>
      <c r="L190" s="55">
        <v>2.7</v>
      </c>
      <c r="M190" s="55">
        <v>2.87</v>
      </c>
      <c r="N190" s="55">
        <v>2.13</v>
      </c>
    </row>
    <row r="191" spans="2:14" x14ac:dyDescent="0.35">
      <c r="B191" s="55">
        <v>1.73</v>
      </c>
      <c r="C191" s="55">
        <v>2.2000000000000002</v>
      </c>
      <c r="D191" s="55">
        <v>3.21</v>
      </c>
      <c r="E191" s="55">
        <v>4.16</v>
      </c>
      <c r="F191" s="55">
        <v>4.87</v>
      </c>
      <c r="G191" s="55" t="s">
        <v>333</v>
      </c>
      <c r="H191" s="55">
        <v>4.0199999999999996</v>
      </c>
      <c r="I191" s="55">
        <v>3.8</v>
      </c>
      <c r="J191" s="55">
        <v>3.75</v>
      </c>
      <c r="K191" s="55">
        <v>3.42</v>
      </c>
      <c r="L191" s="55">
        <v>3.18</v>
      </c>
      <c r="M191" s="55">
        <v>3.47</v>
      </c>
      <c r="N191" s="55">
        <v>2.4700000000000002</v>
      </c>
    </row>
    <row r="192" spans="2:14" x14ac:dyDescent="0.35">
      <c r="B192" s="55">
        <v>1.66</v>
      </c>
      <c r="C192" s="55">
        <v>1.75</v>
      </c>
      <c r="D192" s="55">
        <v>1.89</v>
      </c>
      <c r="E192" s="55">
        <v>2.6</v>
      </c>
      <c r="F192" s="55">
        <v>4.72</v>
      </c>
      <c r="G192" s="55" t="s">
        <v>225</v>
      </c>
      <c r="H192" s="55">
        <v>4.3</v>
      </c>
      <c r="I192" s="55">
        <v>2.0299999999999998</v>
      </c>
      <c r="J192" s="55">
        <v>2.57</v>
      </c>
      <c r="K192" s="55">
        <v>3</v>
      </c>
      <c r="L192" s="55">
        <v>3.86</v>
      </c>
      <c r="M192" s="55">
        <v>2.58</v>
      </c>
      <c r="N192" s="55">
        <v>1.96</v>
      </c>
    </row>
    <row r="193" spans="2:14" x14ac:dyDescent="0.35">
      <c r="B193" s="55">
        <v>1.64</v>
      </c>
      <c r="C193" s="55">
        <v>1.29</v>
      </c>
      <c r="D193" s="55">
        <v>2.0099999999999998</v>
      </c>
      <c r="E193" s="55">
        <v>1.86</v>
      </c>
      <c r="F193" s="55">
        <v>1.1399999999999999</v>
      </c>
      <c r="G193" s="55" t="s">
        <v>291</v>
      </c>
      <c r="H193" s="55">
        <v>0.87</v>
      </c>
      <c r="I193" s="55">
        <v>1.4</v>
      </c>
      <c r="J193" s="55">
        <v>2.0699999999999998</v>
      </c>
      <c r="K193" s="55">
        <v>2.46</v>
      </c>
      <c r="L193" s="55">
        <v>2.78</v>
      </c>
      <c r="M193" s="55">
        <v>4.78</v>
      </c>
      <c r="N193" s="55">
        <v>2.7</v>
      </c>
    </row>
    <row r="194" spans="2:14" x14ac:dyDescent="0.35">
      <c r="B194" s="55">
        <v>1.62</v>
      </c>
      <c r="C194" s="55">
        <v>1.84</v>
      </c>
      <c r="D194" s="55">
        <v>1.73</v>
      </c>
      <c r="E194" s="55">
        <v>2.0499999999999998</v>
      </c>
      <c r="F194" s="55">
        <v>3.48</v>
      </c>
      <c r="G194" s="55" t="s">
        <v>328</v>
      </c>
      <c r="H194" s="55">
        <v>3.53</v>
      </c>
      <c r="I194" s="55">
        <v>2</v>
      </c>
      <c r="J194" s="55">
        <v>3.54</v>
      </c>
      <c r="K194" s="55">
        <v>5.03</v>
      </c>
      <c r="L194" s="55">
        <v>3.94</v>
      </c>
      <c r="M194" s="55">
        <v>1.74</v>
      </c>
      <c r="N194" s="55">
        <v>1.75</v>
      </c>
    </row>
    <row r="195" spans="2:14" x14ac:dyDescent="0.35">
      <c r="B195" s="55">
        <v>1.62</v>
      </c>
      <c r="C195" s="55">
        <v>1.8</v>
      </c>
      <c r="D195" s="55">
        <v>3.15</v>
      </c>
      <c r="E195" s="55">
        <v>3.36</v>
      </c>
      <c r="F195" s="55">
        <v>4.0599999999999996</v>
      </c>
      <c r="G195" s="55" t="s">
        <v>213</v>
      </c>
      <c r="H195" s="55">
        <v>3.77</v>
      </c>
      <c r="I195" s="55">
        <v>3.53</v>
      </c>
      <c r="J195" s="55">
        <v>3.41</v>
      </c>
      <c r="K195" s="55">
        <v>2.83</v>
      </c>
      <c r="L195" s="55">
        <v>2.62</v>
      </c>
      <c r="M195" s="55">
        <v>2.87</v>
      </c>
      <c r="N195" s="55">
        <v>2.54</v>
      </c>
    </row>
    <row r="196" spans="2:14" x14ac:dyDescent="0.35">
      <c r="B196" s="55">
        <v>1.61</v>
      </c>
      <c r="C196" s="55">
        <v>1.25</v>
      </c>
      <c r="D196" s="55">
        <v>2.0499999999999998</v>
      </c>
      <c r="E196" s="55">
        <v>2.29</v>
      </c>
      <c r="F196" s="55">
        <v>2.57</v>
      </c>
      <c r="G196" s="55" t="s">
        <v>429</v>
      </c>
      <c r="H196" s="55">
        <v>2.93</v>
      </c>
      <c r="I196" s="55">
        <v>2.75</v>
      </c>
      <c r="J196" s="55">
        <v>3.72</v>
      </c>
      <c r="K196" s="55">
        <v>3.11</v>
      </c>
      <c r="L196" s="55">
        <v>2.2599999999999998</v>
      </c>
      <c r="M196" s="55">
        <v>2.14</v>
      </c>
      <c r="N196" s="55">
        <v>1.75</v>
      </c>
    </row>
    <row r="197" spans="2:14" x14ac:dyDescent="0.35">
      <c r="B197" s="55">
        <v>1.61</v>
      </c>
      <c r="C197" s="55">
        <v>1.45</v>
      </c>
      <c r="D197" s="55">
        <v>2.33</v>
      </c>
      <c r="E197" s="55">
        <v>3.09</v>
      </c>
      <c r="F197" s="55">
        <v>2.71</v>
      </c>
      <c r="G197" s="55" t="s">
        <v>282</v>
      </c>
      <c r="H197" s="55">
        <v>3.6</v>
      </c>
      <c r="I197" s="55">
        <v>2.68</v>
      </c>
      <c r="J197" s="55">
        <v>3.46</v>
      </c>
      <c r="K197" s="55">
        <v>3.48</v>
      </c>
      <c r="L197" s="55">
        <v>2.29</v>
      </c>
      <c r="M197" s="55">
        <v>2.66</v>
      </c>
      <c r="N197" s="55">
        <v>2.17</v>
      </c>
    </row>
    <row r="198" spans="2:14" x14ac:dyDescent="0.35">
      <c r="B198" s="55">
        <v>1.6</v>
      </c>
      <c r="C198" s="55">
        <v>1.95</v>
      </c>
      <c r="D198" s="55">
        <v>3.57</v>
      </c>
      <c r="E198" s="55">
        <v>3.95</v>
      </c>
      <c r="F198" s="55">
        <v>6.11</v>
      </c>
      <c r="G198" s="55" t="s">
        <v>205</v>
      </c>
      <c r="H198" s="55">
        <v>4.72</v>
      </c>
      <c r="I198" s="55">
        <v>2.96</v>
      </c>
      <c r="J198" s="55">
        <v>2.85</v>
      </c>
      <c r="K198" s="55">
        <v>4.76</v>
      </c>
      <c r="L198" s="55">
        <v>4.05</v>
      </c>
      <c r="M198" s="55">
        <v>3.47</v>
      </c>
      <c r="N198" s="55">
        <v>2.4300000000000002</v>
      </c>
    </row>
    <row r="199" spans="2:14" x14ac:dyDescent="0.35">
      <c r="B199" s="55">
        <v>1.58</v>
      </c>
      <c r="C199" s="55">
        <v>1.51</v>
      </c>
      <c r="D199" s="55">
        <v>2.92</v>
      </c>
      <c r="E199" s="55">
        <v>3.82</v>
      </c>
      <c r="F199" s="55">
        <v>4.25</v>
      </c>
      <c r="G199" s="55" t="s">
        <v>261</v>
      </c>
      <c r="H199" s="55">
        <v>4.63</v>
      </c>
      <c r="I199" s="55">
        <v>4.03</v>
      </c>
      <c r="J199" s="55">
        <v>4.41</v>
      </c>
      <c r="K199" s="55">
        <v>3.16</v>
      </c>
      <c r="L199" s="55">
        <v>2.8</v>
      </c>
      <c r="M199" s="55">
        <v>2.73</v>
      </c>
      <c r="N199" s="55">
        <v>2.2000000000000002</v>
      </c>
    </row>
    <row r="200" spans="2:14" x14ac:dyDescent="0.35">
      <c r="B200" s="55">
        <v>1.57</v>
      </c>
      <c r="C200" s="55">
        <v>1.35</v>
      </c>
      <c r="D200" s="55">
        <v>2.2200000000000002</v>
      </c>
      <c r="E200" s="55">
        <v>3.13</v>
      </c>
      <c r="F200" s="55">
        <v>2.74</v>
      </c>
      <c r="G200" s="55" t="s">
        <v>428</v>
      </c>
      <c r="H200" s="55">
        <v>3.07</v>
      </c>
      <c r="I200" s="55">
        <v>3.17</v>
      </c>
      <c r="J200" s="55">
        <v>3.43</v>
      </c>
      <c r="K200" s="55">
        <v>3.76</v>
      </c>
      <c r="L200" s="55">
        <v>2.34</v>
      </c>
      <c r="M200" s="55">
        <v>2.65</v>
      </c>
      <c r="N200" s="55">
        <v>2.1800000000000002</v>
      </c>
    </row>
    <row r="201" spans="2:14" x14ac:dyDescent="0.35">
      <c r="B201" s="55">
        <v>1.5</v>
      </c>
      <c r="C201" s="55">
        <v>1.67</v>
      </c>
      <c r="D201" s="55">
        <v>2.83</v>
      </c>
      <c r="E201" s="55">
        <v>3.56</v>
      </c>
      <c r="F201" s="55">
        <v>4.17</v>
      </c>
      <c r="G201" s="55" t="s">
        <v>246</v>
      </c>
      <c r="H201" s="55">
        <v>3.84</v>
      </c>
      <c r="I201" s="55">
        <v>4.0199999999999996</v>
      </c>
      <c r="J201" s="55">
        <v>3.16</v>
      </c>
      <c r="K201" s="55">
        <v>3.12</v>
      </c>
      <c r="L201" s="55">
        <v>2.76</v>
      </c>
      <c r="M201" s="55">
        <v>2.99</v>
      </c>
      <c r="N201" s="55">
        <v>2.4</v>
      </c>
    </row>
    <row r="202" spans="2:14" x14ac:dyDescent="0.35">
      <c r="B202" s="55">
        <v>1.47</v>
      </c>
      <c r="C202" s="55">
        <v>1.1499999999999999</v>
      </c>
      <c r="D202" s="55">
        <v>1.1100000000000001</v>
      </c>
      <c r="E202" s="55">
        <v>1.22</v>
      </c>
      <c r="F202" s="55">
        <v>2.04</v>
      </c>
      <c r="G202" s="55" t="s">
        <v>427</v>
      </c>
      <c r="H202" s="55">
        <v>2.2999999999999998</v>
      </c>
      <c r="I202" s="55">
        <v>1.41</v>
      </c>
      <c r="J202" s="55">
        <v>1.25</v>
      </c>
      <c r="K202" s="55">
        <v>1.2</v>
      </c>
      <c r="L202" s="55">
        <v>0.96</v>
      </c>
      <c r="M202" s="55">
        <v>1.45</v>
      </c>
      <c r="N202" s="55">
        <v>1.65</v>
      </c>
    </row>
    <row r="203" spans="2:14" x14ac:dyDescent="0.35">
      <c r="B203" s="55">
        <v>1.45</v>
      </c>
      <c r="C203" s="55">
        <v>1.22</v>
      </c>
      <c r="D203" s="55">
        <v>1.26</v>
      </c>
      <c r="E203" s="55">
        <v>1.1299999999999999</v>
      </c>
      <c r="F203" s="55">
        <v>1.22</v>
      </c>
      <c r="G203" s="55" t="s">
        <v>426</v>
      </c>
      <c r="H203" s="55">
        <v>0.78</v>
      </c>
      <c r="I203" s="55">
        <v>0.41</v>
      </c>
      <c r="J203" s="55">
        <v>0.56000000000000005</v>
      </c>
      <c r="K203" s="55">
        <v>0.63</v>
      </c>
      <c r="L203" s="55">
        <v>0.99</v>
      </c>
      <c r="M203" s="55">
        <v>1.63</v>
      </c>
      <c r="N203" s="55">
        <v>1.48</v>
      </c>
    </row>
    <row r="204" spans="2:14" x14ac:dyDescent="0.35">
      <c r="B204" s="55">
        <v>1.45</v>
      </c>
      <c r="C204" s="55">
        <v>1.28</v>
      </c>
      <c r="D204" s="55">
        <v>1.26</v>
      </c>
      <c r="E204" s="55">
        <v>1.22</v>
      </c>
      <c r="F204" s="55">
        <v>1.64</v>
      </c>
      <c r="G204" s="55" t="s">
        <v>425</v>
      </c>
      <c r="H204" s="55">
        <v>2.41</v>
      </c>
      <c r="I204" s="55">
        <v>3.24</v>
      </c>
      <c r="J204" s="55">
        <v>4.53</v>
      </c>
      <c r="K204" s="55">
        <v>4.3499999999999996</v>
      </c>
      <c r="L204" s="55">
        <v>3.06</v>
      </c>
      <c r="M204" s="55">
        <v>1.78</v>
      </c>
      <c r="N204" s="55">
        <v>1.96</v>
      </c>
    </row>
    <row r="205" spans="2:14" x14ac:dyDescent="0.35">
      <c r="B205" s="55">
        <v>1.41</v>
      </c>
      <c r="C205" s="55">
        <v>1.34</v>
      </c>
      <c r="D205" s="55">
        <v>2.39</v>
      </c>
      <c r="E205" s="55">
        <v>3.62</v>
      </c>
      <c r="F205" s="55">
        <v>4.0199999999999996</v>
      </c>
      <c r="G205" s="55" t="s">
        <v>424</v>
      </c>
      <c r="H205" s="55">
        <v>4.8</v>
      </c>
      <c r="I205" s="55">
        <v>4.0999999999999996</v>
      </c>
      <c r="J205" s="55">
        <v>4.21</v>
      </c>
      <c r="K205" s="55">
        <v>3.47</v>
      </c>
      <c r="L205" s="55">
        <v>2.57</v>
      </c>
      <c r="M205" s="55">
        <v>2.63</v>
      </c>
      <c r="N205" s="55">
        <v>2.06</v>
      </c>
    </row>
    <row r="206" spans="2:14" x14ac:dyDescent="0.35">
      <c r="B206" s="55">
        <v>1.4</v>
      </c>
      <c r="C206" s="55">
        <v>1.89</v>
      </c>
      <c r="D206" s="55">
        <v>2.38</v>
      </c>
      <c r="E206" s="55">
        <v>2.11</v>
      </c>
      <c r="F206" s="55">
        <v>1.7</v>
      </c>
      <c r="G206" s="55" t="s">
        <v>202</v>
      </c>
      <c r="H206" s="55">
        <v>1.95</v>
      </c>
      <c r="I206" s="55">
        <v>3.44</v>
      </c>
      <c r="J206" s="55">
        <v>5.62</v>
      </c>
      <c r="K206" s="55">
        <v>4.82</v>
      </c>
      <c r="L206" s="55">
        <v>4.2699999999999996</v>
      </c>
      <c r="M206" s="55">
        <v>2.78</v>
      </c>
      <c r="N206" s="55">
        <v>1.87</v>
      </c>
    </row>
    <row r="207" spans="2:14" x14ac:dyDescent="0.35">
      <c r="B207" s="55">
        <v>1.39</v>
      </c>
      <c r="C207" s="55">
        <v>1.1399999999999999</v>
      </c>
      <c r="D207" s="55">
        <v>1.41</v>
      </c>
      <c r="E207" s="55">
        <v>1.27</v>
      </c>
      <c r="F207" s="55">
        <v>1.27</v>
      </c>
      <c r="G207" s="55" t="s">
        <v>347</v>
      </c>
      <c r="H207" s="55">
        <v>0.74</v>
      </c>
      <c r="I207" s="55">
        <v>0.39</v>
      </c>
      <c r="J207" s="55">
        <v>0.3</v>
      </c>
      <c r="K207" s="55">
        <v>0.76</v>
      </c>
      <c r="L207" s="55">
        <v>0.76</v>
      </c>
      <c r="M207" s="55">
        <v>1.38</v>
      </c>
      <c r="N207" s="55">
        <v>1.38</v>
      </c>
    </row>
    <row r="208" spans="2:14" x14ac:dyDescent="0.35">
      <c r="B208" s="55">
        <v>1.37</v>
      </c>
      <c r="C208" s="55">
        <v>1.33</v>
      </c>
      <c r="D208" s="55">
        <v>1.91</v>
      </c>
      <c r="E208" s="55">
        <v>2.02</v>
      </c>
      <c r="F208" s="55">
        <v>2.09</v>
      </c>
      <c r="G208" s="55" t="s">
        <v>226</v>
      </c>
      <c r="H208" s="55">
        <v>0.77</v>
      </c>
      <c r="I208" s="55">
        <v>0.72</v>
      </c>
      <c r="J208" s="55">
        <v>0.76</v>
      </c>
      <c r="K208" s="55">
        <v>1.33</v>
      </c>
      <c r="L208" s="55">
        <v>1.57</v>
      </c>
      <c r="M208" s="55">
        <v>1.4</v>
      </c>
      <c r="N208" s="55">
        <v>1.23</v>
      </c>
    </row>
    <row r="209" spans="2:14" x14ac:dyDescent="0.35">
      <c r="B209" s="55">
        <v>1.36</v>
      </c>
      <c r="C209" s="55">
        <v>1.18</v>
      </c>
      <c r="D209" s="55">
        <v>0.93</v>
      </c>
      <c r="E209" s="55">
        <v>1.96</v>
      </c>
      <c r="F209" s="55">
        <v>2.48</v>
      </c>
      <c r="G209" s="55" t="s">
        <v>345</v>
      </c>
      <c r="H209" s="55">
        <v>2.93</v>
      </c>
      <c r="I209" s="55">
        <v>1.77</v>
      </c>
      <c r="J209" s="55">
        <v>2.99</v>
      </c>
      <c r="K209" s="55">
        <v>5.31</v>
      </c>
      <c r="L209" s="55">
        <v>3.78</v>
      </c>
      <c r="M209" s="55">
        <v>1.75</v>
      </c>
      <c r="N209" s="55">
        <v>1.1100000000000001</v>
      </c>
    </row>
    <row r="210" spans="2:14" x14ac:dyDescent="0.35">
      <c r="B210" s="55">
        <v>1.28</v>
      </c>
      <c r="C210" s="55">
        <v>1.42</v>
      </c>
      <c r="D210" s="55">
        <v>2.57</v>
      </c>
      <c r="E210" s="55">
        <v>3.49</v>
      </c>
      <c r="F210" s="55">
        <v>4.12</v>
      </c>
      <c r="G210" s="55" t="s">
        <v>423</v>
      </c>
      <c r="H210" s="55">
        <v>4.08</v>
      </c>
      <c r="I210" s="55">
        <v>3.73</v>
      </c>
      <c r="J210" s="55">
        <v>4.59</v>
      </c>
      <c r="K210" s="55">
        <v>3.56</v>
      </c>
      <c r="L210" s="55">
        <v>2.5</v>
      </c>
      <c r="M210" s="55">
        <v>2.4900000000000002</v>
      </c>
      <c r="N210" s="55">
        <v>1.69</v>
      </c>
    </row>
    <row r="211" spans="2:14" x14ac:dyDescent="0.35">
      <c r="B211" s="55">
        <v>1.28</v>
      </c>
      <c r="C211" s="55">
        <v>1.56</v>
      </c>
      <c r="D211" s="55">
        <v>2.9</v>
      </c>
      <c r="E211" s="55">
        <v>3</v>
      </c>
      <c r="F211" s="55">
        <v>5.44</v>
      </c>
      <c r="G211" s="55" t="s">
        <v>251</v>
      </c>
      <c r="H211" s="55">
        <v>4.63</v>
      </c>
      <c r="I211" s="55">
        <v>2.94</v>
      </c>
      <c r="J211" s="55">
        <v>2.48</v>
      </c>
      <c r="K211" s="55">
        <v>3.98</v>
      </c>
      <c r="L211" s="55">
        <v>3.64</v>
      </c>
      <c r="M211" s="55">
        <v>2.11</v>
      </c>
      <c r="N211" s="55">
        <v>1.89</v>
      </c>
    </row>
    <row r="212" spans="2:14" x14ac:dyDescent="0.35">
      <c r="B212" s="55">
        <v>1.25</v>
      </c>
      <c r="C212" s="55">
        <v>1.28</v>
      </c>
      <c r="D212" s="55">
        <v>2.2799999999999998</v>
      </c>
      <c r="E212" s="55">
        <v>3.35</v>
      </c>
      <c r="F212" s="55">
        <v>3.25</v>
      </c>
      <c r="G212" s="55" t="s">
        <v>272</v>
      </c>
      <c r="H212" s="55">
        <v>4.05</v>
      </c>
      <c r="I212" s="55">
        <v>3.93</v>
      </c>
      <c r="J212" s="55">
        <v>4.33</v>
      </c>
      <c r="K212" s="55">
        <v>3.08</v>
      </c>
      <c r="L212" s="55">
        <v>2.1800000000000002</v>
      </c>
      <c r="M212" s="55">
        <v>2.31</v>
      </c>
      <c r="N212" s="55">
        <v>1.66</v>
      </c>
    </row>
    <row r="213" spans="2:14" x14ac:dyDescent="0.35">
      <c r="B213" s="55">
        <v>1.21</v>
      </c>
      <c r="C213" s="55">
        <v>1.01</v>
      </c>
      <c r="D213" s="55">
        <v>2.06</v>
      </c>
      <c r="E213" s="55">
        <v>2.56</v>
      </c>
      <c r="F213" s="55">
        <v>2.75</v>
      </c>
      <c r="G213" s="55" t="s">
        <v>305</v>
      </c>
      <c r="H213" s="55">
        <v>3.43</v>
      </c>
      <c r="I213" s="55">
        <v>3.44</v>
      </c>
      <c r="J213" s="55">
        <v>3.77</v>
      </c>
      <c r="K213" s="55">
        <v>3.11</v>
      </c>
      <c r="L213" s="55">
        <v>2.17</v>
      </c>
      <c r="M213" s="55">
        <v>2.27</v>
      </c>
      <c r="N213" s="55">
        <v>1.41</v>
      </c>
    </row>
    <row r="214" spans="2:14" x14ac:dyDescent="0.35">
      <c r="B214" s="55">
        <v>1.19</v>
      </c>
      <c r="C214" s="55">
        <v>0.99</v>
      </c>
      <c r="D214" s="55">
        <v>2</v>
      </c>
      <c r="E214" s="55">
        <v>3.38</v>
      </c>
      <c r="F214" s="55">
        <v>3.38</v>
      </c>
      <c r="G214" s="55" t="s">
        <v>422</v>
      </c>
      <c r="H214" s="55">
        <v>4</v>
      </c>
      <c r="I214" s="55">
        <v>4.25</v>
      </c>
      <c r="J214" s="55">
        <v>4.28</v>
      </c>
      <c r="K214" s="55">
        <v>3.4</v>
      </c>
      <c r="L214" s="55">
        <v>2.16</v>
      </c>
      <c r="M214" s="55">
        <v>2.1</v>
      </c>
      <c r="N214" s="55">
        <v>1.23</v>
      </c>
    </row>
    <row r="215" spans="2:14" x14ac:dyDescent="0.35">
      <c r="B215" s="55">
        <v>1.18</v>
      </c>
      <c r="C215" s="55">
        <v>1.21</v>
      </c>
      <c r="D215" s="55">
        <v>1.41</v>
      </c>
      <c r="E215" s="55">
        <v>0.45</v>
      </c>
      <c r="F215" s="55">
        <v>0.24</v>
      </c>
      <c r="G215" s="55" t="s">
        <v>421</v>
      </c>
      <c r="H215" s="55">
        <v>0.12</v>
      </c>
      <c r="I215" s="55">
        <v>0</v>
      </c>
      <c r="J215" s="55">
        <v>0.08</v>
      </c>
      <c r="K215" s="55">
        <v>0.15</v>
      </c>
      <c r="L215" s="55">
        <v>0.3</v>
      </c>
      <c r="M215" s="55">
        <v>0.59</v>
      </c>
      <c r="N215" s="55">
        <v>0.76</v>
      </c>
    </row>
    <row r="216" spans="2:14" x14ac:dyDescent="0.35">
      <c r="B216" s="55">
        <v>1.18</v>
      </c>
      <c r="C216" s="55">
        <v>1.1100000000000001</v>
      </c>
      <c r="D216" s="55">
        <v>1.24</v>
      </c>
      <c r="E216" s="55">
        <v>0.85</v>
      </c>
      <c r="F216" s="55">
        <v>1.05</v>
      </c>
      <c r="G216" s="55" t="s">
        <v>420</v>
      </c>
      <c r="H216" s="55">
        <v>0.66</v>
      </c>
      <c r="I216" s="55">
        <v>0.4</v>
      </c>
      <c r="J216" s="55">
        <v>0.45</v>
      </c>
      <c r="K216" s="55">
        <v>0.5</v>
      </c>
      <c r="L216" s="55">
        <v>0.72</v>
      </c>
      <c r="M216" s="55">
        <v>1.1100000000000001</v>
      </c>
      <c r="N216" s="55">
        <v>1.3</v>
      </c>
    </row>
    <row r="217" spans="2:14" x14ac:dyDescent="0.35">
      <c r="B217" s="55">
        <v>1.17</v>
      </c>
      <c r="C217" s="55">
        <v>0.8</v>
      </c>
      <c r="D217" s="55">
        <v>0.7</v>
      </c>
      <c r="E217" s="55">
        <v>0.53</v>
      </c>
      <c r="F217" s="55">
        <v>0.51</v>
      </c>
      <c r="G217" s="55" t="s">
        <v>419</v>
      </c>
      <c r="H217" s="55">
        <v>0.62</v>
      </c>
      <c r="I217" s="55">
        <v>0.22</v>
      </c>
      <c r="J217" s="55">
        <v>0.36</v>
      </c>
      <c r="K217" s="55">
        <v>0.39</v>
      </c>
      <c r="L217" s="55">
        <v>0.53</v>
      </c>
      <c r="M217" s="55">
        <v>1.05</v>
      </c>
      <c r="N217" s="55">
        <v>1.38</v>
      </c>
    </row>
    <row r="218" spans="2:14" x14ac:dyDescent="0.35">
      <c r="B218" s="55">
        <v>1.1499999999999999</v>
      </c>
      <c r="C218" s="55">
        <v>1.31</v>
      </c>
      <c r="D218" s="55">
        <v>2.44</v>
      </c>
      <c r="E218" s="55">
        <v>3.38</v>
      </c>
      <c r="F218" s="55">
        <v>5.39</v>
      </c>
      <c r="G218" s="55" t="s">
        <v>288</v>
      </c>
      <c r="H218" s="55">
        <v>4.4400000000000004</v>
      </c>
      <c r="I218" s="55">
        <v>4.42</v>
      </c>
      <c r="J218" s="55">
        <v>3.54</v>
      </c>
      <c r="K218" s="55">
        <v>4.6399999999999997</v>
      </c>
      <c r="L218" s="55">
        <v>3.33</v>
      </c>
      <c r="M218" s="55">
        <v>2.2999999999999998</v>
      </c>
      <c r="N218" s="55">
        <v>1.64</v>
      </c>
    </row>
    <row r="219" spans="2:14" x14ac:dyDescent="0.35">
      <c r="B219" s="55">
        <v>1.1399999999999999</v>
      </c>
      <c r="C219" s="55">
        <v>0.88</v>
      </c>
      <c r="D219" s="55">
        <v>0.98</v>
      </c>
      <c r="E219" s="55">
        <v>0.81</v>
      </c>
      <c r="F219" s="55">
        <v>1.08</v>
      </c>
      <c r="G219" s="55" t="s">
        <v>418</v>
      </c>
      <c r="H219" s="55">
        <v>0.67</v>
      </c>
      <c r="I219" s="55">
        <v>0.3</v>
      </c>
      <c r="J219" s="55">
        <v>0.36</v>
      </c>
      <c r="K219" s="55">
        <v>0.68</v>
      </c>
      <c r="L219" s="55">
        <v>0.71</v>
      </c>
      <c r="M219" s="55">
        <v>1.05</v>
      </c>
      <c r="N219" s="55">
        <v>0.93</v>
      </c>
    </row>
    <row r="220" spans="2:14" x14ac:dyDescent="0.35">
      <c r="B220" s="55">
        <v>1.1399999999999999</v>
      </c>
      <c r="C220" s="55">
        <v>0.95</v>
      </c>
      <c r="D220" s="55">
        <v>1.1200000000000001</v>
      </c>
      <c r="E220" s="55">
        <v>1.3</v>
      </c>
      <c r="F220" s="55">
        <v>1.56</v>
      </c>
      <c r="G220" s="55" t="s">
        <v>417</v>
      </c>
      <c r="H220" s="55">
        <v>1.1599999999999999</v>
      </c>
      <c r="I220" s="55">
        <v>0.72</v>
      </c>
      <c r="J220" s="55">
        <v>0.75</v>
      </c>
      <c r="K220" s="55">
        <v>0.8</v>
      </c>
      <c r="L220" s="55">
        <v>0.96</v>
      </c>
      <c r="M220" s="55">
        <v>1.21</v>
      </c>
      <c r="N220" s="55">
        <v>1.05</v>
      </c>
    </row>
    <row r="221" spans="2:14" x14ac:dyDescent="0.35">
      <c r="B221" s="55">
        <v>1.1399999999999999</v>
      </c>
      <c r="C221" s="55">
        <v>1.01</v>
      </c>
      <c r="D221" s="55">
        <v>1.38</v>
      </c>
      <c r="E221" s="55">
        <v>1.18</v>
      </c>
      <c r="F221" s="55">
        <v>1.51</v>
      </c>
      <c r="G221" s="55" t="s">
        <v>242</v>
      </c>
      <c r="H221" s="55">
        <v>0.91</v>
      </c>
      <c r="I221" s="55">
        <v>0.7</v>
      </c>
      <c r="J221" s="55">
        <v>0.66</v>
      </c>
      <c r="K221" s="55">
        <v>0.89</v>
      </c>
      <c r="L221" s="55">
        <v>0.97</v>
      </c>
      <c r="M221" s="55">
        <v>1.1299999999999999</v>
      </c>
      <c r="N221" s="55">
        <v>1.1000000000000001</v>
      </c>
    </row>
    <row r="222" spans="2:14" x14ac:dyDescent="0.35">
      <c r="B222" s="55">
        <v>1.1200000000000001</v>
      </c>
      <c r="C222" s="55">
        <v>0.83</v>
      </c>
      <c r="D222" s="55">
        <v>1.69</v>
      </c>
      <c r="E222" s="55">
        <v>2.09</v>
      </c>
      <c r="F222" s="55">
        <v>2.95</v>
      </c>
      <c r="G222" s="55" t="s">
        <v>321</v>
      </c>
      <c r="H222" s="55">
        <v>4.25</v>
      </c>
      <c r="I222" s="55">
        <v>4.2</v>
      </c>
      <c r="J222" s="55">
        <v>4.22</v>
      </c>
      <c r="K222" s="55">
        <v>4.13</v>
      </c>
      <c r="L222" s="55">
        <v>2.46</v>
      </c>
      <c r="M222" s="55">
        <v>2.12</v>
      </c>
      <c r="N222" s="55">
        <v>0.94</v>
      </c>
    </row>
    <row r="223" spans="2:14" x14ac:dyDescent="0.35">
      <c r="B223" s="55">
        <v>1.1200000000000001</v>
      </c>
      <c r="C223" s="55">
        <v>1.57</v>
      </c>
      <c r="D223" s="55">
        <v>2.27</v>
      </c>
      <c r="E223" s="55">
        <v>2.62</v>
      </c>
      <c r="F223" s="55">
        <v>3.92</v>
      </c>
      <c r="G223" s="55" t="s">
        <v>416</v>
      </c>
      <c r="H223" s="55">
        <v>3.69</v>
      </c>
      <c r="I223" s="55">
        <v>1.58</v>
      </c>
      <c r="J223" s="55">
        <v>2.38</v>
      </c>
      <c r="K223" s="55">
        <v>3.19</v>
      </c>
      <c r="L223" s="55">
        <v>3.11</v>
      </c>
      <c r="M223" s="55">
        <v>1.68</v>
      </c>
      <c r="N223" s="55">
        <v>1.68</v>
      </c>
    </row>
    <row r="224" spans="2:14" x14ac:dyDescent="0.35">
      <c r="B224" s="55">
        <v>1.06</v>
      </c>
      <c r="C224" s="55">
        <v>0.77</v>
      </c>
      <c r="D224" s="55">
        <v>0.96</v>
      </c>
      <c r="E224" s="55">
        <v>1.0900000000000001</v>
      </c>
      <c r="F224" s="55">
        <v>1.95</v>
      </c>
      <c r="G224" s="55" t="s">
        <v>262</v>
      </c>
      <c r="H224" s="55">
        <v>1.73</v>
      </c>
      <c r="I224" s="55">
        <v>1.0900000000000001</v>
      </c>
      <c r="J224" s="55">
        <v>1.1499999999999999</v>
      </c>
      <c r="K224" s="55">
        <v>1.08</v>
      </c>
      <c r="L224" s="55">
        <v>0.83</v>
      </c>
      <c r="M224" s="55">
        <v>0.96</v>
      </c>
      <c r="N224" s="55">
        <v>1.1499999999999999</v>
      </c>
    </row>
    <row r="225" spans="2:14" x14ac:dyDescent="0.35">
      <c r="B225" s="55">
        <v>1.06</v>
      </c>
      <c r="C225" s="55">
        <v>1.06</v>
      </c>
      <c r="D225" s="55">
        <v>0.86</v>
      </c>
      <c r="E225" s="55">
        <v>0.35</v>
      </c>
      <c r="F225" s="55">
        <v>0.62</v>
      </c>
      <c r="G225" s="55" t="s">
        <v>231</v>
      </c>
      <c r="H225" s="55">
        <v>0.47</v>
      </c>
      <c r="I225" s="55">
        <v>0.24</v>
      </c>
      <c r="J225" s="55">
        <v>0.27</v>
      </c>
      <c r="K225" s="55">
        <v>0.45</v>
      </c>
      <c r="L225" s="55">
        <v>0.42</v>
      </c>
      <c r="M225" s="55">
        <v>0.8</v>
      </c>
      <c r="N225" s="55">
        <v>0.88</v>
      </c>
    </row>
    <row r="226" spans="2:14" x14ac:dyDescent="0.35">
      <c r="B226" s="55">
        <v>1.04</v>
      </c>
      <c r="C226" s="55">
        <v>0.74</v>
      </c>
      <c r="D226" s="55">
        <v>0.81</v>
      </c>
      <c r="E226" s="55">
        <v>0.66</v>
      </c>
      <c r="F226" s="55">
        <v>1.02</v>
      </c>
      <c r="G226" s="55" t="s">
        <v>415</v>
      </c>
      <c r="H226" s="55">
        <v>1.45</v>
      </c>
      <c r="I226" s="55">
        <v>2.3199999999999998</v>
      </c>
      <c r="J226" s="55">
        <v>2.75</v>
      </c>
      <c r="K226" s="55">
        <v>2.36</v>
      </c>
      <c r="L226" s="55">
        <v>1.46</v>
      </c>
      <c r="M226" s="55">
        <v>1.46</v>
      </c>
      <c r="N226" s="55">
        <v>1.44</v>
      </c>
    </row>
    <row r="227" spans="2:14" x14ac:dyDescent="0.35">
      <c r="B227" s="55">
        <v>1.04</v>
      </c>
      <c r="C227" s="55">
        <v>0.79</v>
      </c>
      <c r="D227" s="55">
        <v>1.86</v>
      </c>
      <c r="E227" s="55">
        <v>2.31</v>
      </c>
      <c r="F227" s="55">
        <v>3.24</v>
      </c>
      <c r="G227" s="55" t="s">
        <v>263</v>
      </c>
      <c r="H227" s="55">
        <v>4.34</v>
      </c>
      <c r="I227" s="55">
        <v>4.04</v>
      </c>
      <c r="J227" s="55">
        <v>4.05</v>
      </c>
      <c r="K227" s="55">
        <v>2.69</v>
      </c>
      <c r="L227" s="55">
        <v>2.11</v>
      </c>
      <c r="M227" s="55">
        <v>1.94</v>
      </c>
      <c r="N227" s="55">
        <v>1</v>
      </c>
    </row>
    <row r="228" spans="2:14" x14ac:dyDescent="0.35">
      <c r="B228" s="55">
        <v>1.03</v>
      </c>
      <c r="C228" s="55">
        <v>1.19</v>
      </c>
      <c r="D228" s="55">
        <v>2.21</v>
      </c>
      <c r="E228" s="55">
        <v>3.58</v>
      </c>
      <c r="F228" s="55">
        <v>4.25</v>
      </c>
      <c r="G228" s="55" t="s">
        <v>324</v>
      </c>
      <c r="H228" s="55">
        <v>4.57</v>
      </c>
      <c r="I228" s="55">
        <v>4.18</v>
      </c>
      <c r="J228" s="55">
        <v>4.51</v>
      </c>
      <c r="K228" s="55">
        <v>3.15</v>
      </c>
      <c r="L228" s="55">
        <v>2.62</v>
      </c>
      <c r="M228" s="55">
        <v>2.1</v>
      </c>
      <c r="N228" s="55">
        <v>1.33</v>
      </c>
    </row>
    <row r="229" spans="2:14" x14ac:dyDescent="0.35">
      <c r="B229" s="55">
        <v>1.03</v>
      </c>
      <c r="C229" s="55">
        <v>0.72</v>
      </c>
      <c r="D229" s="55">
        <v>0.79</v>
      </c>
      <c r="E229" s="55">
        <v>0.94</v>
      </c>
      <c r="F229" s="55">
        <v>1.35</v>
      </c>
      <c r="G229" s="55" t="s">
        <v>414</v>
      </c>
      <c r="H229" s="55">
        <v>1.7</v>
      </c>
      <c r="I229" s="55">
        <v>2.15</v>
      </c>
      <c r="J229" s="55">
        <v>2.89</v>
      </c>
      <c r="K229" s="55">
        <v>2.81</v>
      </c>
      <c r="L229" s="55">
        <v>2.09</v>
      </c>
      <c r="M229" s="55">
        <v>1.54</v>
      </c>
      <c r="N229" s="55">
        <v>1.39</v>
      </c>
    </row>
    <row r="230" spans="2:14" x14ac:dyDescent="0.35">
      <c r="B230" s="55">
        <v>0.99</v>
      </c>
      <c r="C230" s="55">
        <v>0.88</v>
      </c>
      <c r="D230" s="55">
        <v>0.81</v>
      </c>
      <c r="E230" s="55">
        <v>0.28000000000000003</v>
      </c>
      <c r="F230" s="55">
        <v>0.24</v>
      </c>
      <c r="G230" s="55" t="s">
        <v>206</v>
      </c>
      <c r="H230" s="55">
        <v>0.24</v>
      </c>
      <c r="I230" s="55">
        <v>2.0699999999999998</v>
      </c>
      <c r="J230" s="55">
        <v>2.2999999999999998</v>
      </c>
      <c r="K230" s="55">
        <v>1.45</v>
      </c>
      <c r="L230" s="55">
        <v>1.21</v>
      </c>
      <c r="M230" s="55">
        <v>0.67</v>
      </c>
      <c r="N230" s="55">
        <v>1.03</v>
      </c>
    </row>
    <row r="231" spans="2:14" x14ac:dyDescent="0.35">
      <c r="B231" s="55">
        <v>0.97</v>
      </c>
      <c r="C231" s="55">
        <v>1.1299999999999999</v>
      </c>
      <c r="D231" s="55">
        <v>1.41</v>
      </c>
      <c r="E231" s="55">
        <v>1.67</v>
      </c>
      <c r="F231" s="55">
        <v>2.83</v>
      </c>
      <c r="G231" s="55" t="s">
        <v>368</v>
      </c>
      <c r="H231" s="55">
        <v>3.06</v>
      </c>
      <c r="I231" s="55">
        <v>1.69</v>
      </c>
      <c r="J231" s="55">
        <v>2.63</v>
      </c>
      <c r="K231" s="55">
        <v>2.91</v>
      </c>
      <c r="L231" s="55">
        <v>2.9</v>
      </c>
      <c r="M231" s="55">
        <v>1.3</v>
      </c>
      <c r="N231" s="55">
        <v>1.27</v>
      </c>
    </row>
    <row r="232" spans="2:14" x14ac:dyDescent="0.35">
      <c r="B232" s="55">
        <v>0.95</v>
      </c>
      <c r="C232" s="55">
        <v>1.18</v>
      </c>
      <c r="D232" s="55">
        <v>2.56</v>
      </c>
      <c r="E232" s="55">
        <v>3.14</v>
      </c>
      <c r="F232" s="55">
        <v>4.8600000000000003</v>
      </c>
      <c r="G232" s="55" t="s">
        <v>207</v>
      </c>
      <c r="H232" s="55">
        <v>4.88</v>
      </c>
      <c r="I232" s="55">
        <v>3.83</v>
      </c>
      <c r="J232" s="55">
        <v>3.81</v>
      </c>
      <c r="K232" s="55">
        <v>3.71</v>
      </c>
      <c r="L232" s="55">
        <v>2.99</v>
      </c>
      <c r="M232" s="55">
        <v>2.31</v>
      </c>
      <c r="N232" s="55">
        <v>1.42</v>
      </c>
    </row>
    <row r="233" spans="2:14" x14ac:dyDescent="0.35">
      <c r="B233" s="55">
        <v>0.94</v>
      </c>
      <c r="C233" s="55">
        <v>0.75</v>
      </c>
      <c r="D233" s="55">
        <v>1.88</v>
      </c>
      <c r="E233" s="55">
        <v>3.01</v>
      </c>
      <c r="F233" s="55">
        <v>3.53</v>
      </c>
      <c r="G233" s="55" t="s">
        <v>413</v>
      </c>
      <c r="H233" s="55">
        <v>4</v>
      </c>
      <c r="I233" s="55">
        <v>4.6100000000000003</v>
      </c>
      <c r="J233" s="55">
        <v>4.33</v>
      </c>
      <c r="K233" s="55">
        <v>3.12</v>
      </c>
      <c r="L233" s="55">
        <v>2.2000000000000002</v>
      </c>
      <c r="M233" s="55">
        <v>2.0099999999999998</v>
      </c>
      <c r="N233" s="55">
        <v>1.02</v>
      </c>
    </row>
    <row r="234" spans="2:14" x14ac:dyDescent="0.35">
      <c r="B234" s="55">
        <v>0.92</v>
      </c>
      <c r="C234" s="55">
        <v>0.75</v>
      </c>
      <c r="D234" s="55">
        <v>0.6</v>
      </c>
      <c r="E234" s="55">
        <v>0.65</v>
      </c>
      <c r="F234" s="55">
        <v>0.74</v>
      </c>
      <c r="G234" s="55" t="s">
        <v>255</v>
      </c>
      <c r="H234" s="55">
        <v>1.1399999999999999</v>
      </c>
      <c r="I234" s="55">
        <v>2.15</v>
      </c>
      <c r="J234" s="55">
        <v>3.23</v>
      </c>
      <c r="K234" s="55">
        <v>2.5099999999999998</v>
      </c>
      <c r="L234" s="55">
        <v>1.58</v>
      </c>
      <c r="M234" s="55">
        <v>1.28</v>
      </c>
      <c r="N234" s="55">
        <v>1.01</v>
      </c>
    </row>
    <row r="235" spans="2:14" x14ac:dyDescent="0.35">
      <c r="B235" s="55">
        <v>0.88</v>
      </c>
      <c r="C235" s="55">
        <v>0.97</v>
      </c>
      <c r="D235" s="55">
        <v>0.62</v>
      </c>
      <c r="E235" s="55">
        <v>0.24</v>
      </c>
      <c r="F235" s="55">
        <v>0.26</v>
      </c>
      <c r="G235" s="55" t="s">
        <v>412</v>
      </c>
      <c r="H235" s="55">
        <v>0.21</v>
      </c>
      <c r="I235" s="55">
        <v>0.17</v>
      </c>
      <c r="J235" s="55">
        <v>0.13</v>
      </c>
      <c r="K235" s="55">
        <v>0.28000000000000003</v>
      </c>
      <c r="L235" s="55">
        <v>0.2</v>
      </c>
      <c r="M235" s="55">
        <v>0.44</v>
      </c>
      <c r="N235" s="55">
        <v>0.62</v>
      </c>
    </row>
    <row r="236" spans="2:14" x14ac:dyDescent="0.35">
      <c r="B236" s="55">
        <v>0.84</v>
      </c>
      <c r="C236" s="55">
        <v>0.61</v>
      </c>
      <c r="D236" s="55">
        <v>0.55000000000000004</v>
      </c>
      <c r="E236" s="55">
        <v>0.38</v>
      </c>
      <c r="F236" s="55">
        <v>0.85</v>
      </c>
      <c r="G236" s="55" t="s">
        <v>411</v>
      </c>
      <c r="H236" s="55">
        <v>1.43</v>
      </c>
      <c r="I236" s="55">
        <v>2.1</v>
      </c>
      <c r="J236" s="55">
        <v>2.54</v>
      </c>
      <c r="K236" s="55">
        <v>1.82</v>
      </c>
      <c r="L236" s="55">
        <v>1.08</v>
      </c>
      <c r="M236" s="55">
        <v>0.9</v>
      </c>
      <c r="N236" s="55">
        <v>0.87</v>
      </c>
    </row>
    <row r="237" spans="2:14" x14ac:dyDescent="0.35">
      <c r="B237" s="55">
        <v>0.84</v>
      </c>
      <c r="C237" s="55">
        <v>0.64</v>
      </c>
      <c r="D237" s="55">
        <v>0.96</v>
      </c>
      <c r="E237" s="55">
        <v>1.38</v>
      </c>
      <c r="F237" s="55">
        <v>2.5499999999999998</v>
      </c>
      <c r="G237" s="55" t="s">
        <v>410</v>
      </c>
      <c r="H237" s="55">
        <v>3.98</v>
      </c>
      <c r="I237" s="55">
        <v>3.37</v>
      </c>
      <c r="J237" s="55">
        <v>3.14</v>
      </c>
      <c r="K237" s="55">
        <v>3.03</v>
      </c>
      <c r="L237" s="55">
        <v>1.98</v>
      </c>
      <c r="M237" s="55">
        <v>1.36</v>
      </c>
      <c r="N237" s="55">
        <v>0.7</v>
      </c>
    </row>
    <row r="238" spans="2:14" x14ac:dyDescent="0.35">
      <c r="B238" s="55">
        <v>0.84</v>
      </c>
      <c r="C238" s="55">
        <v>1.05</v>
      </c>
      <c r="D238" s="55">
        <v>2.13</v>
      </c>
      <c r="E238" s="55">
        <v>3.23</v>
      </c>
      <c r="F238" s="55">
        <v>4.1500000000000004</v>
      </c>
      <c r="G238" s="55" t="s">
        <v>409</v>
      </c>
      <c r="H238" s="55">
        <v>4.82</v>
      </c>
      <c r="I238" s="55">
        <v>4.2</v>
      </c>
      <c r="J238" s="55">
        <v>4.08</v>
      </c>
      <c r="K238" s="55">
        <v>2.95</v>
      </c>
      <c r="L238" s="55">
        <v>2.4900000000000002</v>
      </c>
      <c r="M238" s="55">
        <v>2.1</v>
      </c>
      <c r="N238" s="55">
        <v>1.1100000000000001</v>
      </c>
    </row>
    <row r="239" spans="2:14" x14ac:dyDescent="0.35">
      <c r="B239" s="55">
        <v>0.84</v>
      </c>
      <c r="C239" s="55">
        <v>1.02</v>
      </c>
      <c r="D239" s="55">
        <v>2.71</v>
      </c>
      <c r="E239" s="55">
        <v>2.57</v>
      </c>
      <c r="F239" s="55">
        <v>4.16</v>
      </c>
      <c r="G239" s="55" t="s">
        <v>200</v>
      </c>
      <c r="H239" s="55">
        <v>4.25</v>
      </c>
      <c r="I239" s="55">
        <v>3.31</v>
      </c>
      <c r="J239" s="55">
        <v>2.94</v>
      </c>
      <c r="K239" s="55">
        <v>2.96</v>
      </c>
      <c r="L239" s="55">
        <v>2.4500000000000002</v>
      </c>
      <c r="M239" s="55">
        <v>1.82</v>
      </c>
      <c r="N239" s="55">
        <v>1.35</v>
      </c>
    </row>
    <row r="240" spans="2:14" x14ac:dyDescent="0.35">
      <c r="B240" s="55">
        <v>0.83</v>
      </c>
      <c r="C240" s="55">
        <v>0.77</v>
      </c>
      <c r="D240" s="55">
        <v>1.07</v>
      </c>
      <c r="E240" s="55">
        <v>0.25</v>
      </c>
      <c r="F240" s="55">
        <v>0.16</v>
      </c>
      <c r="G240" s="55" t="s">
        <v>244</v>
      </c>
      <c r="H240" s="55">
        <v>0.09</v>
      </c>
      <c r="I240" s="55">
        <v>0.99</v>
      </c>
      <c r="J240" s="55">
        <v>0.94</v>
      </c>
      <c r="K240" s="55">
        <v>0.75</v>
      </c>
      <c r="L240" s="55">
        <v>0.79</v>
      </c>
      <c r="M240" s="55">
        <v>0.73</v>
      </c>
      <c r="N240" s="55">
        <v>0.92</v>
      </c>
    </row>
    <row r="241" spans="2:14" x14ac:dyDescent="0.35">
      <c r="B241" s="55">
        <v>0.83</v>
      </c>
      <c r="C241" s="55">
        <v>0.62</v>
      </c>
      <c r="D241" s="55">
        <v>0.86</v>
      </c>
      <c r="E241" s="55">
        <v>0.85</v>
      </c>
      <c r="F241" s="55">
        <v>1.06</v>
      </c>
      <c r="G241" s="55" t="s">
        <v>197</v>
      </c>
      <c r="H241" s="55">
        <v>0.69</v>
      </c>
      <c r="I241" s="55">
        <v>0.27</v>
      </c>
      <c r="J241" s="55">
        <v>0.35</v>
      </c>
      <c r="K241" s="55">
        <v>0.53</v>
      </c>
      <c r="L241" s="55">
        <v>0.66</v>
      </c>
      <c r="M241" s="55">
        <v>0.8</v>
      </c>
      <c r="N241" s="55">
        <v>0.81</v>
      </c>
    </row>
    <row r="242" spans="2:14" x14ac:dyDescent="0.35">
      <c r="B242" s="55">
        <v>0.81</v>
      </c>
      <c r="C242" s="55">
        <v>0.56999999999999995</v>
      </c>
      <c r="D242" s="55">
        <v>1.1200000000000001</v>
      </c>
      <c r="E242" s="55">
        <v>1.74</v>
      </c>
      <c r="F242" s="55">
        <v>2.48</v>
      </c>
      <c r="G242" s="55" t="s">
        <v>353</v>
      </c>
      <c r="H242" s="55">
        <v>1.89</v>
      </c>
      <c r="I242" s="55">
        <v>1.28</v>
      </c>
      <c r="J242" s="55">
        <v>0.85</v>
      </c>
      <c r="K242" s="55">
        <v>1.34</v>
      </c>
      <c r="L242" s="55">
        <v>1.26</v>
      </c>
      <c r="M242" s="55">
        <v>0.75</v>
      </c>
      <c r="N242" s="55">
        <v>0.67</v>
      </c>
    </row>
    <row r="243" spans="2:14" x14ac:dyDescent="0.35">
      <c r="B243" s="55">
        <v>0.81</v>
      </c>
      <c r="C243" s="55">
        <v>1.18</v>
      </c>
      <c r="D243" s="55">
        <v>0.99</v>
      </c>
      <c r="E243" s="55">
        <v>1.6</v>
      </c>
      <c r="F243" s="55">
        <v>3.09</v>
      </c>
      <c r="G243" s="55" t="s">
        <v>408</v>
      </c>
      <c r="H243" s="55">
        <v>2.52</v>
      </c>
      <c r="I243" s="55">
        <v>1.1000000000000001</v>
      </c>
      <c r="J243" s="55">
        <v>2.0499999999999998</v>
      </c>
      <c r="K243" s="55">
        <v>2.95</v>
      </c>
      <c r="L243" s="55">
        <v>2.57</v>
      </c>
      <c r="M243" s="55">
        <v>1.1000000000000001</v>
      </c>
      <c r="N243" s="55">
        <v>0.94</v>
      </c>
    </row>
    <row r="244" spans="2:14" x14ac:dyDescent="0.35">
      <c r="B244" s="55">
        <v>0.77</v>
      </c>
      <c r="C244" s="55">
        <v>0.8</v>
      </c>
      <c r="D244" s="55">
        <v>2.13</v>
      </c>
      <c r="E244" s="55">
        <v>2.94</v>
      </c>
      <c r="F244" s="55">
        <v>4.4400000000000004</v>
      </c>
      <c r="G244" s="55" t="s">
        <v>407</v>
      </c>
      <c r="H244" s="55">
        <v>3.95</v>
      </c>
      <c r="I244" s="55">
        <v>3.86</v>
      </c>
      <c r="J244" s="55">
        <v>3.21</v>
      </c>
      <c r="K244" s="55">
        <v>3.17</v>
      </c>
      <c r="L244" s="55">
        <v>2.21</v>
      </c>
      <c r="M244" s="55">
        <v>1.82</v>
      </c>
      <c r="N244" s="55">
        <v>0.92</v>
      </c>
    </row>
    <row r="245" spans="2:14" x14ac:dyDescent="0.35">
      <c r="B245" s="55">
        <v>0.77</v>
      </c>
      <c r="C245" s="55">
        <v>0.56999999999999995</v>
      </c>
      <c r="D245" s="55">
        <v>1</v>
      </c>
      <c r="E245" s="55">
        <v>1.77</v>
      </c>
      <c r="F245" s="55">
        <v>2.41</v>
      </c>
      <c r="G245" s="55" t="s">
        <v>217</v>
      </c>
      <c r="H245" s="55">
        <v>2.02</v>
      </c>
      <c r="I245" s="55">
        <v>1.1100000000000001</v>
      </c>
      <c r="J245" s="55">
        <v>0.8</v>
      </c>
      <c r="K245" s="55">
        <v>1.38</v>
      </c>
      <c r="L245" s="55">
        <v>1.41</v>
      </c>
      <c r="M245" s="55">
        <v>0.8</v>
      </c>
      <c r="N245" s="55">
        <v>0.68</v>
      </c>
    </row>
    <row r="246" spans="2:14" x14ac:dyDescent="0.35">
      <c r="B246" s="55">
        <v>0.76</v>
      </c>
      <c r="C246" s="55">
        <v>0.59</v>
      </c>
      <c r="D246" s="55">
        <v>1.17</v>
      </c>
      <c r="E246" s="55">
        <v>1.37</v>
      </c>
      <c r="F246" s="55">
        <v>2.61</v>
      </c>
      <c r="G246" s="55" t="s">
        <v>315</v>
      </c>
      <c r="H246" s="55">
        <v>3.51</v>
      </c>
      <c r="I246" s="55">
        <v>2.88</v>
      </c>
      <c r="J246" s="55">
        <v>2.52</v>
      </c>
      <c r="K246" s="55">
        <v>2.1800000000000002</v>
      </c>
      <c r="L246" s="55">
        <v>1.97</v>
      </c>
      <c r="M246" s="55">
        <v>1.06</v>
      </c>
      <c r="N246" s="55">
        <v>0.56999999999999995</v>
      </c>
    </row>
    <row r="247" spans="2:14" x14ac:dyDescent="0.35">
      <c r="B247" s="55">
        <v>0.76</v>
      </c>
      <c r="C247" s="55">
        <v>0.77</v>
      </c>
      <c r="D247" s="55">
        <v>2.25</v>
      </c>
      <c r="E247" s="55">
        <v>3.07</v>
      </c>
      <c r="F247" s="55">
        <v>4.57</v>
      </c>
      <c r="G247" s="55" t="s">
        <v>250</v>
      </c>
      <c r="H247" s="55">
        <v>3.84</v>
      </c>
      <c r="I247" s="55">
        <v>3.75</v>
      </c>
      <c r="J247" s="55">
        <v>2.93</v>
      </c>
      <c r="K247" s="55">
        <v>3.03</v>
      </c>
      <c r="L247" s="55">
        <v>2.4900000000000002</v>
      </c>
      <c r="M247" s="55">
        <v>1.67</v>
      </c>
      <c r="N247" s="55">
        <v>0.95</v>
      </c>
    </row>
    <row r="248" spans="2:14" x14ac:dyDescent="0.35">
      <c r="B248" s="55">
        <v>0.76</v>
      </c>
      <c r="C248" s="55">
        <v>0.59</v>
      </c>
      <c r="D248" s="55">
        <v>1.5</v>
      </c>
      <c r="E248" s="55">
        <v>2.13</v>
      </c>
      <c r="F248" s="55">
        <v>2.97</v>
      </c>
      <c r="G248" s="55" t="s">
        <v>406</v>
      </c>
      <c r="H248" s="55">
        <v>4.51</v>
      </c>
      <c r="I248" s="55">
        <v>3.34</v>
      </c>
      <c r="J248" s="55">
        <v>3.93</v>
      </c>
      <c r="K248" s="55">
        <v>2.93</v>
      </c>
      <c r="L248" s="55">
        <v>2.2400000000000002</v>
      </c>
      <c r="M248" s="55">
        <v>1.54</v>
      </c>
      <c r="N248" s="55">
        <v>0.69</v>
      </c>
    </row>
    <row r="249" spans="2:14" x14ac:dyDescent="0.35">
      <c r="B249" s="55">
        <v>0.74</v>
      </c>
      <c r="C249" s="55">
        <v>0.75</v>
      </c>
      <c r="D249" s="55">
        <v>1.05</v>
      </c>
      <c r="E249" s="55">
        <v>0.9</v>
      </c>
      <c r="F249" s="55">
        <v>1.29</v>
      </c>
      <c r="G249" s="55" t="s">
        <v>318</v>
      </c>
      <c r="H249" s="55">
        <v>0.66</v>
      </c>
      <c r="I249" s="55">
        <v>0.6</v>
      </c>
      <c r="J249" s="55">
        <v>0.91</v>
      </c>
      <c r="K249" s="55">
        <v>0.94</v>
      </c>
      <c r="L249" s="55">
        <v>1</v>
      </c>
      <c r="M249" s="55">
        <v>0.63</v>
      </c>
      <c r="N249" s="55">
        <v>0.5</v>
      </c>
    </row>
    <row r="250" spans="2:14" x14ac:dyDescent="0.35">
      <c r="B250" s="55">
        <v>0.73</v>
      </c>
      <c r="C250" s="55">
        <v>0.77</v>
      </c>
      <c r="D250" s="55">
        <v>1.21</v>
      </c>
      <c r="E250" s="55">
        <v>0.99</v>
      </c>
      <c r="F250" s="55">
        <v>0.94</v>
      </c>
      <c r="G250" s="55" t="s">
        <v>265</v>
      </c>
      <c r="H250" s="55">
        <v>0.44</v>
      </c>
      <c r="I250" s="55">
        <v>0.76</v>
      </c>
      <c r="J250" s="55">
        <v>1.04</v>
      </c>
      <c r="K250" s="55">
        <v>0.92</v>
      </c>
      <c r="L250" s="55">
        <v>1.1200000000000001</v>
      </c>
      <c r="M250" s="55">
        <v>0.77</v>
      </c>
      <c r="N250" s="55">
        <v>0.57999999999999996</v>
      </c>
    </row>
    <row r="251" spans="2:14" x14ac:dyDescent="0.35">
      <c r="B251" s="55">
        <v>0.68</v>
      </c>
      <c r="C251" s="55">
        <v>0.74</v>
      </c>
      <c r="D251" s="55">
        <v>0.65</v>
      </c>
      <c r="E251" s="55">
        <v>0.52</v>
      </c>
      <c r="F251" s="55">
        <v>0.69</v>
      </c>
      <c r="G251" s="55" t="s">
        <v>362</v>
      </c>
      <c r="H251" s="55">
        <v>1.06</v>
      </c>
      <c r="I251" s="55">
        <v>1.7</v>
      </c>
      <c r="J251" s="55">
        <v>2.93</v>
      </c>
      <c r="K251" s="55">
        <v>2.87</v>
      </c>
      <c r="L251" s="55">
        <v>2.08</v>
      </c>
      <c r="M251" s="55">
        <v>1.0900000000000001</v>
      </c>
      <c r="N251" s="55">
        <v>1.05</v>
      </c>
    </row>
    <row r="252" spans="2:14" x14ac:dyDescent="0.35">
      <c r="B252" s="55">
        <v>0.68</v>
      </c>
      <c r="C252" s="55">
        <v>0.57999999999999996</v>
      </c>
      <c r="D252" s="55">
        <v>0.89</v>
      </c>
      <c r="E252" s="55">
        <v>1.23</v>
      </c>
      <c r="F252" s="55">
        <v>2.21</v>
      </c>
      <c r="G252" s="55" t="s">
        <v>405</v>
      </c>
      <c r="H252" s="55">
        <v>3.03</v>
      </c>
      <c r="I252" s="55">
        <v>3.06</v>
      </c>
      <c r="J252" s="55">
        <v>2.72</v>
      </c>
      <c r="K252" s="55">
        <v>1.96</v>
      </c>
      <c r="L252" s="55">
        <v>1.7</v>
      </c>
      <c r="M252" s="55">
        <v>0.99</v>
      </c>
      <c r="N252" s="55">
        <v>0.55000000000000004</v>
      </c>
    </row>
    <row r="253" spans="2:14" x14ac:dyDescent="0.35">
      <c r="B253" s="55">
        <v>0.68</v>
      </c>
      <c r="C253" s="55">
        <v>0.51</v>
      </c>
      <c r="D253" s="55">
        <v>1.01</v>
      </c>
      <c r="E253" s="55">
        <v>1.4</v>
      </c>
      <c r="F253" s="55">
        <v>2.5299999999999998</v>
      </c>
      <c r="G253" s="55" t="s">
        <v>307</v>
      </c>
      <c r="H253" s="55">
        <v>2.2400000000000002</v>
      </c>
      <c r="I253" s="55">
        <v>1.45</v>
      </c>
      <c r="J253" s="55">
        <v>1.65</v>
      </c>
      <c r="K253" s="55">
        <v>1.23</v>
      </c>
      <c r="L253" s="55">
        <v>0.93</v>
      </c>
      <c r="M253" s="55">
        <v>0.59</v>
      </c>
      <c r="N253" s="55">
        <v>0.67</v>
      </c>
    </row>
    <row r="254" spans="2:14" x14ac:dyDescent="0.35">
      <c r="B254" s="55">
        <v>0.67</v>
      </c>
      <c r="C254" s="55">
        <v>0.66</v>
      </c>
      <c r="D254" s="55">
        <v>2.21</v>
      </c>
      <c r="E254" s="55">
        <v>2.9</v>
      </c>
      <c r="F254" s="55">
        <v>4.2300000000000004</v>
      </c>
      <c r="G254" s="55" t="s">
        <v>279</v>
      </c>
      <c r="H254" s="55">
        <v>3.51</v>
      </c>
      <c r="I254" s="55">
        <v>3.54</v>
      </c>
      <c r="J254" s="55">
        <v>3.35</v>
      </c>
      <c r="K254" s="55">
        <v>2.92</v>
      </c>
      <c r="L254" s="55">
        <v>1.94</v>
      </c>
      <c r="M254" s="55">
        <v>1.58</v>
      </c>
      <c r="N254" s="55">
        <v>0.86</v>
      </c>
    </row>
    <row r="255" spans="2:14" x14ac:dyDescent="0.35">
      <c r="B255" s="55">
        <v>0.66</v>
      </c>
      <c r="C255" s="55">
        <v>0.73</v>
      </c>
      <c r="D255" s="55">
        <v>2.35</v>
      </c>
      <c r="E255" s="55">
        <v>2.4500000000000002</v>
      </c>
      <c r="F255" s="55">
        <v>4.2</v>
      </c>
      <c r="G255" s="55" t="s">
        <v>329</v>
      </c>
      <c r="H255" s="55">
        <v>3.95</v>
      </c>
      <c r="I255" s="55">
        <v>4.2</v>
      </c>
      <c r="J255" s="55">
        <v>3.24</v>
      </c>
      <c r="K255" s="55">
        <v>2.5</v>
      </c>
      <c r="L255" s="55">
        <v>1.84</v>
      </c>
      <c r="M255" s="55">
        <v>1.45</v>
      </c>
      <c r="N255" s="55">
        <v>0.86</v>
      </c>
    </row>
    <row r="256" spans="2:14" x14ac:dyDescent="0.35">
      <c r="B256" s="55">
        <v>0.63</v>
      </c>
      <c r="C256" s="55">
        <v>0.55000000000000004</v>
      </c>
      <c r="D256" s="55">
        <v>1.1299999999999999</v>
      </c>
      <c r="E256" s="55">
        <v>1.33</v>
      </c>
      <c r="F256" s="55">
        <v>2.5</v>
      </c>
      <c r="G256" s="55" t="s">
        <v>363</v>
      </c>
      <c r="H256" s="55">
        <v>3.28</v>
      </c>
      <c r="I256" s="55">
        <v>2.68</v>
      </c>
      <c r="J256" s="55">
        <v>2.94</v>
      </c>
      <c r="K256" s="55">
        <v>1.88</v>
      </c>
      <c r="L256" s="55">
        <v>1.5</v>
      </c>
      <c r="M256" s="55">
        <v>0.68</v>
      </c>
      <c r="N256" s="55">
        <v>0.61</v>
      </c>
    </row>
    <row r="257" spans="2:14" x14ac:dyDescent="0.35">
      <c r="B257" s="55">
        <v>0.62</v>
      </c>
      <c r="C257" s="55">
        <v>0.51</v>
      </c>
      <c r="D257" s="55">
        <v>0.67</v>
      </c>
      <c r="E257" s="55">
        <v>0.65</v>
      </c>
      <c r="F257" s="55">
        <v>0.85</v>
      </c>
      <c r="G257" s="55" t="s">
        <v>404</v>
      </c>
      <c r="H257" s="55">
        <v>1.6</v>
      </c>
      <c r="I257" s="55">
        <v>2.0299999999999998</v>
      </c>
      <c r="J257" s="55">
        <v>3.02</v>
      </c>
      <c r="K257" s="55">
        <v>2.31</v>
      </c>
      <c r="L257" s="55">
        <v>1.43</v>
      </c>
      <c r="M257" s="55">
        <v>1.37</v>
      </c>
      <c r="N257" s="55">
        <v>1.1200000000000001</v>
      </c>
    </row>
    <row r="258" spans="2:14" x14ac:dyDescent="0.35">
      <c r="B258" s="55">
        <v>0.62</v>
      </c>
      <c r="C258" s="55">
        <v>0.66</v>
      </c>
      <c r="D258" s="55">
        <v>1.84</v>
      </c>
      <c r="E258" s="55">
        <v>2.25</v>
      </c>
      <c r="F258" s="55">
        <v>3</v>
      </c>
      <c r="G258" s="55" t="s">
        <v>322</v>
      </c>
      <c r="H258" s="55">
        <v>3.15</v>
      </c>
      <c r="I258" s="55">
        <v>3.17</v>
      </c>
      <c r="J258" s="55">
        <v>2.73</v>
      </c>
      <c r="K258" s="55">
        <v>1.7</v>
      </c>
      <c r="L258" s="55">
        <v>1.45</v>
      </c>
      <c r="M258" s="55">
        <v>1.01</v>
      </c>
      <c r="N258" s="55">
        <v>0.77</v>
      </c>
    </row>
    <row r="259" spans="2:14" x14ac:dyDescent="0.35">
      <c r="B259" s="55">
        <v>0.6</v>
      </c>
      <c r="C259" s="55">
        <v>0.5</v>
      </c>
      <c r="D259" s="55">
        <v>1</v>
      </c>
      <c r="E259" s="55">
        <v>0.86</v>
      </c>
      <c r="F259" s="55">
        <v>0.98</v>
      </c>
      <c r="G259" s="55" t="s">
        <v>309</v>
      </c>
      <c r="H259" s="55">
        <v>0.41</v>
      </c>
      <c r="I259" s="55">
        <v>0.66</v>
      </c>
      <c r="J259" s="55">
        <v>0.84</v>
      </c>
      <c r="K259" s="55">
        <v>0.91</v>
      </c>
      <c r="L259" s="55">
        <v>1</v>
      </c>
      <c r="M259" s="55">
        <v>0.71</v>
      </c>
      <c r="N259" s="55">
        <v>0.52</v>
      </c>
    </row>
    <row r="260" spans="2:14" x14ac:dyDescent="0.35">
      <c r="B260" s="55">
        <v>0.59</v>
      </c>
      <c r="C260" s="55">
        <v>0.69</v>
      </c>
      <c r="D260" s="55">
        <v>0.59</v>
      </c>
      <c r="E260" s="55">
        <v>0.15</v>
      </c>
      <c r="F260" s="55">
        <v>0.24</v>
      </c>
      <c r="G260" s="55" t="s">
        <v>281</v>
      </c>
      <c r="H260" s="55">
        <v>0.08</v>
      </c>
      <c r="I260" s="55">
        <v>0.44</v>
      </c>
      <c r="J260" s="55">
        <v>0.45</v>
      </c>
      <c r="K260" s="55">
        <v>0.31</v>
      </c>
      <c r="L260" s="55">
        <v>0.24</v>
      </c>
      <c r="M260" s="55">
        <v>0.31</v>
      </c>
      <c r="N260" s="55">
        <v>0.4</v>
      </c>
    </row>
    <row r="261" spans="2:14" x14ac:dyDescent="0.35">
      <c r="B261" s="55">
        <v>0.59</v>
      </c>
      <c r="C261" s="55">
        <v>0.62</v>
      </c>
      <c r="D261" s="55">
        <v>2</v>
      </c>
      <c r="E261" s="55">
        <v>2.75</v>
      </c>
      <c r="F261" s="55">
        <v>3.75</v>
      </c>
      <c r="G261" s="55" t="s">
        <v>215</v>
      </c>
      <c r="H261" s="55">
        <v>3.61</v>
      </c>
      <c r="I261" s="55">
        <v>3.3</v>
      </c>
      <c r="J261" s="55">
        <v>2.9</v>
      </c>
      <c r="K261" s="55">
        <v>2.42</v>
      </c>
      <c r="L261" s="55">
        <v>1.99</v>
      </c>
      <c r="M261" s="55">
        <v>1.4</v>
      </c>
      <c r="N261" s="55">
        <v>0.66</v>
      </c>
    </row>
    <row r="262" spans="2:14" x14ac:dyDescent="0.35">
      <c r="B262" s="55">
        <v>0.57999999999999996</v>
      </c>
      <c r="C262" s="55">
        <v>0.64</v>
      </c>
      <c r="D262" s="55">
        <v>0.9</v>
      </c>
      <c r="E262" s="55">
        <v>1.52</v>
      </c>
      <c r="F262" s="55">
        <v>2.38</v>
      </c>
      <c r="G262" s="55" t="s">
        <v>403</v>
      </c>
      <c r="H262" s="55">
        <v>1.43</v>
      </c>
      <c r="I262" s="55">
        <v>1.29</v>
      </c>
      <c r="J262" s="55">
        <v>0.73</v>
      </c>
      <c r="K262" s="55">
        <v>0.98</v>
      </c>
      <c r="L262" s="55">
        <v>1.1399999999999999</v>
      </c>
      <c r="M262" s="55">
        <v>0.82</v>
      </c>
      <c r="N262" s="55">
        <v>0.62</v>
      </c>
    </row>
    <row r="263" spans="2:14" x14ac:dyDescent="0.35">
      <c r="B263" s="55">
        <v>0.56999999999999995</v>
      </c>
      <c r="C263" s="55">
        <v>0.96</v>
      </c>
      <c r="D263" s="55">
        <v>0.96</v>
      </c>
      <c r="E263" s="55">
        <v>1.71</v>
      </c>
      <c r="F263" s="55">
        <v>2.31</v>
      </c>
      <c r="G263" s="55" t="s">
        <v>402</v>
      </c>
      <c r="H263" s="55">
        <v>2.34</v>
      </c>
      <c r="I263" s="55">
        <v>2.02</v>
      </c>
      <c r="J263" s="55">
        <v>1.59</v>
      </c>
      <c r="K263" s="55">
        <v>2.06</v>
      </c>
      <c r="L263" s="55">
        <v>2</v>
      </c>
      <c r="M263" s="55">
        <v>0.96</v>
      </c>
      <c r="N263" s="55">
        <v>0.75</v>
      </c>
    </row>
    <row r="264" spans="2:14" x14ac:dyDescent="0.35">
      <c r="B264" s="55">
        <v>0.56999999999999995</v>
      </c>
      <c r="C264" s="55">
        <v>0.76</v>
      </c>
      <c r="D264" s="55">
        <v>1.97</v>
      </c>
      <c r="E264" s="55">
        <v>2.59</v>
      </c>
      <c r="F264" s="55">
        <v>3.92</v>
      </c>
      <c r="G264" s="55" t="s">
        <v>401</v>
      </c>
      <c r="H264" s="55">
        <v>4.25</v>
      </c>
      <c r="I264" s="55">
        <v>3.74</v>
      </c>
      <c r="J264" s="55">
        <v>2.8</v>
      </c>
      <c r="K264" s="55">
        <v>2.25</v>
      </c>
      <c r="L264" s="55">
        <v>1.72</v>
      </c>
      <c r="M264" s="55">
        <v>1.44</v>
      </c>
      <c r="N264" s="55">
        <v>0.65</v>
      </c>
    </row>
    <row r="265" spans="2:14" x14ac:dyDescent="0.35">
      <c r="B265" s="55">
        <v>0.56000000000000005</v>
      </c>
      <c r="C265" s="55">
        <v>0.36</v>
      </c>
      <c r="D265" s="55">
        <v>0.28000000000000003</v>
      </c>
      <c r="E265" s="55">
        <v>0.21</v>
      </c>
      <c r="F265" s="55">
        <v>0.6</v>
      </c>
      <c r="G265" s="55" t="s">
        <v>400</v>
      </c>
      <c r="H265" s="55">
        <v>1.4</v>
      </c>
      <c r="I265" s="55">
        <v>1.73</v>
      </c>
      <c r="J265" s="55">
        <v>1.74</v>
      </c>
      <c r="K265" s="55">
        <v>1.1200000000000001</v>
      </c>
      <c r="L265" s="55">
        <v>0.92</v>
      </c>
      <c r="M265" s="55">
        <v>0.68</v>
      </c>
      <c r="N265" s="55">
        <v>0.74</v>
      </c>
    </row>
    <row r="266" spans="2:14" x14ac:dyDescent="0.35">
      <c r="B266" s="55">
        <v>0.55000000000000004</v>
      </c>
      <c r="C266" s="55">
        <v>0.42</v>
      </c>
      <c r="D266" s="55">
        <v>0.38</v>
      </c>
      <c r="E266" s="55">
        <v>0.41</v>
      </c>
      <c r="F266" s="55">
        <v>0.33</v>
      </c>
      <c r="G266" s="55" t="s">
        <v>399</v>
      </c>
      <c r="H266" s="55">
        <v>0.56999999999999995</v>
      </c>
      <c r="I266" s="55">
        <v>1.43</v>
      </c>
      <c r="J266" s="55">
        <v>2</v>
      </c>
      <c r="K266" s="55">
        <v>1.7</v>
      </c>
      <c r="L266" s="55">
        <v>0.95</v>
      </c>
      <c r="M266" s="55">
        <v>0.71</v>
      </c>
      <c r="N266" s="55">
        <v>0.6</v>
      </c>
    </row>
    <row r="267" spans="2:14" x14ac:dyDescent="0.35">
      <c r="B267" s="55">
        <v>0.54</v>
      </c>
      <c r="C267" s="55">
        <v>0.68</v>
      </c>
      <c r="D267" s="55">
        <v>2.04</v>
      </c>
      <c r="E267" s="55">
        <v>2.61</v>
      </c>
      <c r="F267" s="55">
        <v>4.07</v>
      </c>
      <c r="G267" s="55" t="s">
        <v>398</v>
      </c>
      <c r="H267" s="55">
        <v>3.72</v>
      </c>
      <c r="I267" s="55">
        <v>3.14</v>
      </c>
      <c r="J267" s="55">
        <v>3.08</v>
      </c>
      <c r="K267" s="55">
        <v>2.4300000000000002</v>
      </c>
      <c r="L267" s="55">
        <v>1.51</v>
      </c>
      <c r="M267" s="55">
        <v>1.41</v>
      </c>
      <c r="N267" s="55">
        <v>0.66</v>
      </c>
    </row>
    <row r="268" spans="2:14" x14ac:dyDescent="0.35">
      <c r="B268" s="55">
        <v>0.54</v>
      </c>
      <c r="C268" s="55">
        <v>0.57999999999999996</v>
      </c>
      <c r="D268" s="55">
        <v>1.1599999999999999</v>
      </c>
      <c r="E268" s="55">
        <v>1.79</v>
      </c>
      <c r="F268" s="55">
        <v>2.7</v>
      </c>
      <c r="G268" s="55" t="s">
        <v>397</v>
      </c>
      <c r="H268" s="55">
        <v>2.65</v>
      </c>
      <c r="I268" s="55">
        <v>2.13</v>
      </c>
      <c r="J268" s="55">
        <v>1.19</v>
      </c>
      <c r="K268" s="55">
        <v>1.22</v>
      </c>
      <c r="L268" s="55">
        <v>1.01</v>
      </c>
      <c r="M268" s="55">
        <v>0.8</v>
      </c>
      <c r="N268" s="55">
        <v>0.56000000000000005</v>
      </c>
    </row>
    <row r="269" spans="2:14" x14ac:dyDescent="0.35">
      <c r="B269" s="55">
        <v>0.54</v>
      </c>
      <c r="C269" s="55">
        <v>0.39</v>
      </c>
      <c r="D269" s="55">
        <v>0.74</v>
      </c>
      <c r="E269" s="55">
        <v>1.05</v>
      </c>
      <c r="F269" s="55">
        <v>1.88</v>
      </c>
      <c r="G269" s="55" t="s">
        <v>199</v>
      </c>
      <c r="H269" s="55">
        <v>2.36</v>
      </c>
      <c r="I269" s="55">
        <v>2.2799999999999998</v>
      </c>
      <c r="J269" s="55">
        <v>1.48</v>
      </c>
      <c r="K269" s="55">
        <v>1.35</v>
      </c>
      <c r="L269" s="55">
        <v>0.87</v>
      </c>
      <c r="M269" s="55">
        <v>0.65</v>
      </c>
      <c r="N269" s="55">
        <v>0.56999999999999995</v>
      </c>
    </row>
    <row r="270" spans="2:14" x14ac:dyDescent="0.35">
      <c r="B270" s="55">
        <v>0.53</v>
      </c>
      <c r="C270" s="55">
        <v>0.57999999999999996</v>
      </c>
      <c r="D270" s="55">
        <v>0.42</v>
      </c>
      <c r="E270" s="55">
        <v>0.73</v>
      </c>
      <c r="F270" s="55">
        <v>1.79</v>
      </c>
      <c r="G270" s="55" t="s">
        <v>266</v>
      </c>
      <c r="H270" s="55">
        <v>1.71</v>
      </c>
      <c r="I270" s="55">
        <v>1.89</v>
      </c>
      <c r="J270" s="55">
        <v>1.77</v>
      </c>
      <c r="K270" s="55">
        <v>2.31</v>
      </c>
      <c r="L270" s="55">
        <v>1.77</v>
      </c>
      <c r="M270" s="55">
        <v>0.65</v>
      </c>
      <c r="N270" s="55">
        <v>0.65</v>
      </c>
    </row>
    <row r="271" spans="2:14" x14ac:dyDescent="0.35">
      <c r="B271" s="55">
        <v>0.52</v>
      </c>
      <c r="C271" s="55">
        <v>0.38</v>
      </c>
      <c r="D271" s="55">
        <v>0.63</v>
      </c>
      <c r="E271" s="55">
        <v>0.91</v>
      </c>
      <c r="F271" s="55">
        <v>1.78</v>
      </c>
      <c r="G271" s="55" t="s">
        <v>299</v>
      </c>
      <c r="H271" s="55">
        <v>1.82</v>
      </c>
      <c r="I271" s="55">
        <v>1.34</v>
      </c>
      <c r="J271" s="55">
        <v>1.29</v>
      </c>
      <c r="K271" s="55">
        <v>1.05</v>
      </c>
      <c r="L271" s="55">
        <v>0.66</v>
      </c>
      <c r="M271" s="55">
        <v>0.48</v>
      </c>
      <c r="N271" s="55">
        <v>0.46</v>
      </c>
    </row>
    <row r="272" spans="2:14" x14ac:dyDescent="0.35">
      <c r="B272" s="55">
        <v>0.52</v>
      </c>
      <c r="C272" s="55">
        <v>0.54</v>
      </c>
      <c r="D272" s="55">
        <v>1.24</v>
      </c>
      <c r="E272" s="55">
        <v>2.0699999999999998</v>
      </c>
      <c r="F272" s="55">
        <v>2.38</v>
      </c>
      <c r="G272" s="55" t="s">
        <v>283</v>
      </c>
      <c r="H272" s="55">
        <v>1.1499999999999999</v>
      </c>
      <c r="I272" s="55">
        <v>0.84</v>
      </c>
      <c r="J272" s="55">
        <v>0.56999999999999995</v>
      </c>
      <c r="K272" s="55">
        <v>1.1399999999999999</v>
      </c>
      <c r="L272" s="55">
        <v>1.37</v>
      </c>
      <c r="M272" s="55">
        <v>0.99</v>
      </c>
      <c r="N272" s="55">
        <v>0.61</v>
      </c>
    </row>
    <row r="273" spans="2:14" x14ac:dyDescent="0.35">
      <c r="B273" s="55">
        <v>0.51</v>
      </c>
      <c r="C273" s="55">
        <v>0.49</v>
      </c>
      <c r="D273" s="55">
        <v>1.28</v>
      </c>
      <c r="E273" s="55">
        <v>1.93</v>
      </c>
      <c r="F273" s="55">
        <v>2.3199999999999998</v>
      </c>
      <c r="G273" s="55" t="s">
        <v>325</v>
      </c>
      <c r="H273" s="55">
        <v>1.56</v>
      </c>
      <c r="I273" s="55">
        <v>2.16</v>
      </c>
      <c r="J273" s="55">
        <v>1.82</v>
      </c>
      <c r="K273" s="55">
        <v>1.1399999999999999</v>
      </c>
      <c r="L273" s="55">
        <v>0.99</v>
      </c>
      <c r="M273" s="55">
        <v>0.98</v>
      </c>
      <c r="N273" s="55">
        <v>0.63</v>
      </c>
    </row>
    <row r="274" spans="2:14" x14ac:dyDescent="0.35">
      <c r="B274" s="55">
        <v>0.51</v>
      </c>
      <c r="C274" s="55">
        <v>0.51</v>
      </c>
      <c r="D274" s="55">
        <v>1.81</v>
      </c>
      <c r="E274" s="55">
        <v>2.65</v>
      </c>
      <c r="F274" s="55">
        <v>3.39</v>
      </c>
      <c r="G274" s="55" t="s">
        <v>396</v>
      </c>
      <c r="H274" s="55">
        <v>3.49</v>
      </c>
      <c r="I274" s="55">
        <v>2.93</v>
      </c>
      <c r="J274" s="55">
        <v>3.01</v>
      </c>
      <c r="K274" s="55">
        <v>2.58</v>
      </c>
      <c r="L274" s="55">
        <v>1.93</v>
      </c>
      <c r="M274" s="55">
        <v>1.36</v>
      </c>
      <c r="N274" s="55">
        <v>0.52</v>
      </c>
    </row>
    <row r="275" spans="2:14" x14ac:dyDescent="0.35">
      <c r="B275" s="55">
        <v>0.5</v>
      </c>
      <c r="C275" s="55">
        <v>0.71</v>
      </c>
      <c r="D275" s="55">
        <v>0.76</v>
      </c>
      <c r="E275" s="55">
        <v>1.29</v>
      </c>
      <c r="F275" s="55">
        <v>2.31</v>
      </c>
      <c r="G275" s="55" t="s">
        <v>275</v>
      </c>
      <c r="H275" s="55">
        <v>2.98</v>
      </c>
      <c r="I275" s="55">
        <v>2.13</v>
      </c>
      <c r="J275" s="55">
        <v>2.35</v>
      </c>
      <c r="K275" s="55">
        <v>2.57</v>
      </c>
      <c r="L275" s="55">
        <v>1.7</v>
      </c>
      <c r="M275" s="55">
        <v>0.71</v>
      </c>
      <c r="N275" s="55">
        <v>0.67</v>
      </c>
    </row>
    <row r="276" spans="2:14" x14ac:dyDescent="0.35">
      <c r="B276" s="55">
        <v>0.49</v>
      </c>
      <c r="C276" s="55">
        <v>0.44</v>
      </c>
      <c r="D276" s="55">
        <v>0.61</v>
      </c>
      <c r="E276" s="55">
        <v>0.5</v>
      </c>
      <c r="F276" s="55">
        <v>0.6</v>
      </c>
      <c r="G276" s="55" t="s">
        <v>366</v>
      </c>
      <c r="H276" s="55">
        <v>0.65</v>
      </c>
      <c r="I276" s="55">
        <v>1.27</v>
      </c>
      <c r="J276" s="55">
        <v>1.73</v>
      </c>
      <c r="K276" s="55">
        <v>1.07</v>
      </c>
      <c r="L276" s="55">
        <v>1</v>
      </c>
      <c r="M276" s="55">
        <v>0.62</v>
      </c>
      <c r="N276" s="55">
        <v>0.49</v>
      </c>
    </row>
    <row r="277" spans="2:14" x14ac:dyDescent="0.35">
      <c r="B277" s="55">
        <v>0.48</v>
      </c>
      <c r="C277" s="55">
        <v>0.48</v>
      </c>
      <c r="D277" s="55">
        <v>1.34</v>
      </c>
      <c r="E277" s="55">
        <v>1.83</v>
      </c>
      <c r="F277" s="55">
        <v>2.69</v>
      </c>
      <c r="G277" s="55" t="s">
        <v>395</v>
      </c>
      <c r="H277" s="55">
        <v>3.49</v>
      </c>
      <c r="I277" s="55">
        <v>2.92</v>
      </c>
      <c r="J277" s="55">
        <v>2.42</v>
      </c>
      <c r="K277" s="55">
        <v>1.81</v>
      </c>
      <c r="L277" s="55">
        <v>1.63</v>
      </c>
      <c r="M277" s="55">
        <v>0.75</v>
      </c>
      <c r="N277" s="55">
        <v>0.38</v>
      </c>
    </row>
    <row r="278" spans="2:14" x14ac:dyDescent="0.35">
      <c r="B278" s="55">
        <v>0.48</v>
      </c>
      <c r="C278" s="55">
        <v>0.56999999999999995</v>
      </c>
      <c r="D278" s="55">
        <v>1.67</v>
      </c>
      <c r="E278" s="55">
        <v>2.29</v>
      </c>
      <c r="F278" s="55">
        <v>3</v>
      </c>
      <c r="G278" s="55" t="s">
        <v>295</v>
      </c>
      <c r="H278" s="55">
        <v>3.28</v>
      </c>
      <c r="I278" s="55">
        <v>2.86</v>
      </c>
      <c r="J278" s="55">
        <v>2.0699999999999998</v>
      </c>
      <c r="K278" s="55">
        <v>1.8</v>
      </c>
      <c r="L278" s="55">
        <v>1.59</v>
      </c>
      <c r="M278" s="55">
        <v>0.89</v>
      </c>
      <c r="N278" s="55">
        <v>0.39</v>
      </c>
    </row>
    <row r="279" spans="2:14" x14ac:dyDescent="0.35">
      <c r="B279" s="55">
        <v>0.47</v>
      </c>
      <c r="C279" s="55">
        <v>0.36</v>
      </c>
      <c r="D279" s="55">
        <v>0.7</v>
      </c>
      <c r="E279" s="55">
        <v>0.87</v>
      </c>
      <c r="F279" s="55">
        <v>1.84</v>
      </c>
      <c r="G279" s="55" t="s">
        <v>394</v>
      </c>
      <c r="H279" s="55">
        <v>1.9</v>
      </c>
      <c r="I279" s="55">
        <v>1.51</v>
      </c>
      <c r="J279" s="55">
        <v>1.2</v>
      </c>
      <c r="K279" s="55">
        <v>1.03</v>
      </c>
      <c r="L279" s="55">
        <v>0.62</v>
      </c>
      <c r="M279" s="55">
        <v>0.45</v>
      </c>
      <c r="N279" s="55">
        <v>0.51</v>
      </c>
    </row>
    <row r="280" spans="2:14" x14ac:dyDescent="0.35">
      <c r="B280" s="55">
        <v>0.46</v>
      </c>
      <c r="C280" s="55">
        <v>0.53</v>
      </c>
      <c r="D280" s="55">
        <v>0.61</v>
      </c>
      <c r="E280" s="55">
        <v>0.27</v>
      </c>
      <c r="F280" s="55">
        <v>0.36</v>
      </c>
      <c r="G280" s="55" t="s">
        <v>393</v>
      </c>
      <c r="H280" s="55">
        <v>0.3</v>
      </c>
      <c r="I280" s="55">
        <v>1.18</v>
      </c>
      <c r="J280" s="55">
        <v>1.31</v>
      </c>
      <c r="K280" s="55">
        <v>1.02</v>
      </c>
      <c r="L280" s="55">
        <v>0.9</v>
      </c>
      <c r="M280" s="55">
        <v>0.55000000000000004</v>
      </c>
      <c r="N280" s="55">
        <v>0.54</v>
      </c>
    </row>
    <row r="281" spans="2:14" x14ac:dyDescent="0.35">
      <c r="B281" s="55">
        <v>0.45</v>
      </c>
      <c r="C281" s="55">
        <v>0.51</v>
      </c>
      <c r="D281" s="55">
        <v>0.85</v>
      </c>
      <c r="E281" s="55">
        <v>1.46</v>
      </c>
      <c r="F281" s="55">
        <v>2.2200000000000002</v>
      </c>
      <c r="G281" s="55" t="s">
        <v>349</v>
      </c>
      <c r="H281" s="55">
        <v>2.59</v>
      </c>
      <c r="I281" s="55">
        <v>2.58</v>
      </c>
      <c r="J281" s="55">
        <v>2.15</v>
      </c>
      <c r="K281" s="55">
        <v>1.61</v>
      </c>
      <c r="L281" s="55">
        <v>1.28</v>
      </c>
      <c r="M281" s="55">
        <v>0.7</v>
      </c>
      <c r="N281" s="55">
        <v>0.44</v>
      </c>
    </row>
    <row r="282" spans="2:14" x14ac:dyDescent="0.35">
      <c r="B282" s="55">
        <v>0.45</v>
      </c>
      <c r="C282" s="55">
        <v>0.44</v>
      </c>
      <c r="D282" s="55">
        <v>1.05</v>
      </c>
      <c r="E282" s="55">
        <v>1.55</v>
      </c>
      <c r="F282" s="55">
        <v>2.48</v>
      </c>
      <c r="G282" s="55" t="s">
        <v>337</v>
      </c>
      <c r="H282" s="55">
        <v>2.12</v>
      </c>
      <c r="I282" s="55">
        <v>2.2599999999999998</v>
      </c>
      <c r="J282" s="55">
        <v>1.82</v>
      </c>
      <c r="K282" s="55">
        <v>1.43</v>
      </c>
      <c r="L282" s="55">
        <v>0.75</v>
      </c>
      <c r="M282" s="55">
        <v>0.64</v>
      </c>
      <c r="N282" s="55">
        <v>0.46</v>
      </c>
    </row>
    <row r="283" spans="2:14" x14ac:dyDescent="0.35">
      <c r="B283" s="55">
        <v>0.45</v>
      </c>
      <c r="C283" s="55">
        <v>0.39</v>
      </c>
      <c r="D283" s="55">
        <v>0.26</v>
      </c>
      <c r="E283" s="55">
        <v>0.23</v>
      </c>
      <c r="F283" s="55">
        <v>0.38</v>
      </c>
      <c r="G283" s="55" t="s">
        <v>320</v>
      </c>
      <c r="H283" s="55">
        <v>0.87</v>
      </c>
      <c r="I283" s="55">
        <v>1.49</v>
      </c>
      <c r="J283" s="55">
        <v>1.75</v>
      </c>
      <c r="K283" s="55">
        <v>1.61</v>
      </c>
      <c r="L283" s="55">
        <v>0.81</v>
      </c>
      <c r="M283" s="55">
        <v>0.42</v>
      </c>
      <c r="N283" s="55">
        <v>0.77</v>
      </c>
    </row>
    <row r="284" spans="2:14" x14ac:dyDescent="0.35">
      <c r="B284" s="55">
        <v>0.45</v>
      </c>
      <c r="C284" s="55">
        <v>0.52</v>
      </c>
      <c r="D284" s="55">
        <v>0.36</v>
      </c>
      <c r="E284" s="55">
        <v>0.22</v>
      </c>
      <c r="F284" s="55">
        <v>0.59</v>
      </c>
      <c r="G284" s="55" t="s">
        <v>392</v>
      </c>
      <c r="H284" s="55">
        <v>1.54</v>
      </c>
      <c r="I284" s="55">
        <v>1.82</v>
      </c>
      <c r="J284" s="55">
        <v>1.8</v>
      </c>
      <c r="K284" s="55">
        <v>1.44</v>
      </c>
      <c r="L284" s="55">
        <v>1.02</v>
      </c>
      <c r="M284" s="55">
        <v>0.67</v>
      </c>
      <c r="N284" s="55">
        <v>0.97</v>
      </c>
    </row>
    <row r="285" spans="2:14" x14ac:dyDescent="0.35">
      <c r="B285" s="55">
        <v>0.43</v>
      </c>
      <c r="C285" s="55">
        <v>0.44</v>
      </c>
      <c r="D285" s="55">
        <v>1.2</v>
      </c>
      <c r="E285" s="55">
        <v>1.51</v>
      </c>
      <c r="F285" s="55">
        <v>3.46</v>
      </c>
      <c r="G285" s="55" t="s">
        <v>391</v>
      </c>
      <c r="H285" s="55">
        <v>3.3</v>
      </c>
      <c r="I285" s="55">
        <v>3.54</v>
      </c>
      <c r="J285" s="55">
        <v>2.4900000000000002</v>
      </c>
      <c r="K285" s="55">
        <v>1.1200000000000001</v>
      </c>
      <c r="L285" s="55">
        <v>1.05</v>
      </c>
      <c r="M285" s="55">
        <v>0.82</v>
      </c>
      <c r="N285" s="55">
        <v>0.4</v>
      </c>
    </row>
    <row r="286" spans="2:14" x14ac:dyDescent="0.35">
      <c r="B286" s="55">
        <v>0.4</v>
      </c>
      <c r="C286" s="55">
        <v>0.31</v>
      </c>
      <c r="D286" s="55">
        <v>0.39</v>
      </c>
      <c r="E286" s="55">
        <v>0.35</v>
      </c>
      <c r="F286" s="55">
        <v>0.55000000000000004</v>
      </c>
      <c r="G286" s="55" t="s">
        <v>390</v>
      </c>
      <c r="H286" s="55">
        <v>1.25</v>
      </c>
      <c r="I286" s="55">
        <v>2.15</v>
      </c>
      <c r="J286" s="55">
        <v>2.92</v>
      </c>
      <c r="K286" s="55">
        <v>2.1</v>
      </c>
      <c r="L286" s="55">
        <v>0.89</v>
      </c>
      <c r="M286" s="55">
        <v>0.66</v>
      </c>
      <c r="N286" s="55">
        <v>0.47</v>
      </c>
    </row>
    <row r="287" spans="2:14" x14ac:dyDescent="0.35">
      <c r="B287" s="55">
        <v>0.39</v>
      </c>
      <c r="C287" s="55">
        <v>0.51</v>
      </c>
      <c r="D287" s="55">
        <v>1.24</v>
      </c>
      <c r="E287" s="55">
        <v>1.97</v>
      </c>
      <c r="F287" s="55">
        <v>3.34</v>
      </c>
      <c r="G287" s="55" t="s">
        <v>252</v>
      </c>
      <c r="H287" s="55">
        <v>3.17</v>
      </c>
      <c r="I287" s="55">
        <v>3.17</v>
      </c>
      <c r="J287" s="55">
        <v>2.15</v>
      </c>
      <c r="K287" s="55">
        <v>1.32</v>
      </c>
      <c r="L287" s="55">
        <v>1.24</v>
      </c>
      <c r="M287" s="55">
        <v>0.76</v>
      </c>
      <c r="N287" s="55">
        <v>0.4</v>
      </c>
    </row>
    <row r="288" spans="2:14" x14ac:dyDescent="0.35">
      <c r="B288" s="55">
        <v>0.39</v>
      </c>
      <c r="C288" s="55">
        <v>0.41</v>
      </c>
      <c r="D288" s="55">
        <v>0.35</v>
      </c>
      <c r="E288" s="55">
        <v>0.57999999999999996</v>
      </c>
      <c r="F288" s="55">
        <v>1.3</v>
      </c>
      <c r="G288" s="55" t="s">
        <v>228</v>
      </c>
      <c r="H288" s="55">
        <v>1.62</v>
      </c>
      <c r="I288" s="55">
        <v>1.99</v>
      </c>
      <c r="J288" s="55">
        <v>2.31</v>
      </c>
      <c r="K288" s="55">
        <v>1.98</v>
      </c>
      <c r="L288" s="55">
        <v>1.29</v>
      </c>
      <c r="M288" s="55">
        <v>0.53</v>
      </c>
      <c r="N288" s="55">
        <v>0.59</v>
      </c>
    </row>
    <row r="289" spans="2:15" x14ac:dyDescent="0.35">
      <c r="B289" s="55">
        <v>0.38</v>
      </c>
      <c r="C289" s="55">
        <v>0.28000000000000003</v>
      </c>
      <c r="D289" s="55">
        <v>0.27</v>
      </c>
      <c r="E289" s="55">
        <v>0.09</v>
      </c>
      <c r="F289" s="55">
        <v>0.05</v>
      </c>
      <c r="G289" s="55" t="s">
        <v>195</v>
      </c>
      <c r="H289" s="55">
        <v>0.02</v>
      </c>
      <c r="I289" s="55">
        <v>0.23</v>
      </c>
      <c r="J289" s="55">
        <v>0.61</v>
      </c>
      <c r="K289" s="55">
        <v>0.26</v>
      </c>
      <c r="L289" s="55">
        <v>0.26</v>
      </c>
      <c r="M289" s="55">
        <v>0.14000000000000001</v>
      </c>
      <c r="N289" s="55">
        <v>0.42</v>
      </c>
    </row>
    <row r="290" spans="2:15" x14ac:dyDescent="0.35">
      <c r="B290" s="55">
        <v>0.37</v>
      </c>
      <c r="C290" s="55">
        <v>0.46</v>
      </c>
      <c r="D290" s="55">
        <v>1.03</v>
      </c>
      <c r="E290" s="55">
        <v>1.86</v>
      </c>
      <c r="F290" s="55">
        <v>2.96</v>
      </c>
      <c r="G290" s="55" t="s">
        <v>233</v>
      </c>
      <c r="H290" s="55">
        <v>2.83</v>
      </c>
      <c r="I290" s="55">
        <v>2.0299999999999998</v>
      </c>
      <c r="J290" s="55">
        <v>1.61</v>
      </c>
      <c r="K290" s="55">
        <v>1.1000000000000001</v>
      </c>
      <c r="L290" s="55">
        <v>1.37</v>
      </c>
      <c r="M290" s="55">
        <v>0.61</v>
      </c>
      <c r="N290" s="55">
        <v>0.4</v>
      </c>
    </row>
    <row r="291" spans="2:15" x14ac:dyDescent="0.35">
      <c r="B291" s="55">
        <v>0.35</v>
      </c>
      <c r="C291" s="55">
        <v>0.26</v>
      </c>
      <c r="D291" s="55">
        <v>0.47</v>
      </c>
      <c r="E291" s="55">
        <v>0.75</v>
      </c>
      <c r="F291" s="55">
        <v>1.72</v>
      </c>
      <c r="G291" s="55" t="s">
        <v>389</v>
      </c>
      <c r="H291" s="55">
        <v>2.2000000000000002</v>
      </c>
      <c r="I291" s="55">
        <v>1.78</v>
      </c>
      <c r="J291" s="55">
        <v>1.25</v>
      </c>
      <c r="K291" s="55">
        <v>0.98</v>
      </c>
      <c r="L291" s="55">
        <v>0.71</v>
      </c>
      <c r="M291" s="55">
        <v>0.39</v>
      </c>
      <c r="N291" s="55">
        <v>0.37</v>
      </c>
    </row>
    <row r="292" spans="2:15" x14ac:dyDescent="0.35">
      <c r="B292" s="55">
        <v>0.34</v>
      </c>
      <c r="C292" s="55">
        <v>0.41</v>
      </c>
      <c r="D292" s="55">
        <v>0.22</v>
      </c>
      <c r="E292" s="55">
        <v>0.2</v>
      </c>
      <c r="F292" s="55">
        <v>0.77</v>
      </c>
      <c r="G292" s="55" t="s">
        <v>388</v>
      </c>
      <c r="H292" s="55">
        <v>2.38</v>
      </c>
      <c r="I292" s="55">
        <v>2.77</v>
      </c>
      <c r="J292" s="55">
        <v>2.11</v>
      </c>
      <c r="K292" s="55">
        <v>1.03</v>
      </c>
      <c r="L292" s="55">
        <v>0.73</v>
      </c>
      <c r="M292" s="55">
        <v>0.59</v>
      </c>
      <c r="N292" s="55">
        <v>0.39</v>
      </c>
    </row>
    <row r="293" spans="2:15" x14ac:dyDescent="0.35">
      <c r="B293" s="55">
        <v>0.33</v>
      </c>
      <c r="C293" s="55">
        <v>0.26</v>
      </c>
      <c r="D293" s="55">
        <v>0.97</v>
      </c>
      <c r="E293" s="55">
        <v>1.25</v>
      </c>
      <c r="F293" s="55">
        <v>1.49</v>
      </c>
      <c r="G293" s="55" t="s">
        <v>236</v>
      </c>
      <c r="H293" s="55">
        <v>1.33</v>
      </c>
      <c r="I293" s="55">
        <v>2.04</v>
      </c>
      <c r="J293" s="55">
        <v>2.27</v>
      </c>
      <c r="K293" s="55">
        <v>0.84</v>
      </c>
      <c r="L293" s="55">
        <v>0.64</v>
      </c>
      <c r="M293" s="55">
        <v>0.57999999999999996</v>
      </c>
      <c r="N293" s="55">
        <v>0.39</v>
      </c>
    </row>
    <row r="294" spans="2:15" x14ac:dyDescent="0.35">
      <c r="B294" s="55">
        <v>0.3</v>
      </c>
      <c r="C294" s="55">
        <v>0.27</v>
      </c>
      <c r="D294" s="55">
        <v>0.62</v>
      </c>
      <c r="E294" s="55">
        <v>0.99</v>
      </c>
      <c r="F294" s="55">
        <v>2.08</v>
      </c>
      <c r="G294" s="55" t="s">
        <v>387</v>
      </c>
      <c r="H294" s="55">
        <v>2.21</v>
      </c>
      <c r="I294" s="55">
        <v>2.81</v>
      </c>
      <c r="J294" s="55">
        <v>2.69</v>
      </c>
      <c r="K294" s="55">
        <v>1.56</v>
      </c>
      <c r="L294" s="55">
        <v>0.74</v>
      </c>
      <c r="M294" s="55">
        <v>0.54</v>
      </c>
      <c r="N294" s="55">
        <v>0.32</v>
      </c>
    </row>
    <row r="295" spans="2:15" x14ac:dyDescent="0.35">
      <c r="B295" s="55">
        <v>0.3</v>
      </c>
      <c r="C295" s="55">
        <v>0.48</v>
      </c>
      <c r="D295" s="55">
        <v>1.1100000000000001</v>
      </c>
      <c r="E295" s="55">
        <v>1.97</v>
      </c>
      <c r="F295" s="55">
        <v>3.2</v>
      </c>
      <c r="G295" s="55" t="s">
        <v>203</v>
      </c>
      <c r="H295" s="55">
        <v>3.01</v>
      </c>
      <c r="I295" s="55">
        <v>3.37</v>
      </c>
      <c r="J295" s="55">
        <v>2.2000000000000002</v>
      </c>
      <c r="K295" s="55">
        <v>1.61</v>
      </c>
      <c r="L295" s="55">
        <v>1.22</v>
      </c>
      <c r="M295" s="55">
        <v>0.72</v>
      </c>
      <c r="N295" s="55">
        <v>0.33</v>
      </c>
    </row>
    <row r="296" spans="2:15" x14ac:dyDescent="0.35">
      <c r="B296" s="55">
        <v>0.28000000000000003</v>
      </c>
      <c r="C296" s="55">
        <v>0.35</v>
      </c>
      <c r="D296" s="55">
        <v>1.06</v>
      </c>
      <c r="E296" s="55">
        <v>1.62</v>
      </c>
      <c r="F296" s="55">
        <v>2.39</v>
      </c>
      <c r="G296" s="55" t="s">
        <v>386</v>
      </c>
      <c r="H296" s="55">
        <v>2.34</v>
      </c>
      <c r="I296" s="55">
        <v>2.85</v>
      </c>
      <c r="J296" s="55">
        <v>3.48</v>
      </c>
      <c r="K296" s="55">
        <v>1.23</v>
      </c>
      <c r="L296" s="55">
        <v>0.86</v>
      </c>
      <c r="M296" s="55">
        <v>0.52</v>
      </c>
      <c r="N296" s="55">
        <v>0.42</v>
      </c>
    </row>
    <row r="297" spans="2:15" x14ac:dyDescent="0.35">
      <c r="B297" s="55">
        <v>0.25</v>
      </c>
      <c r="C297" s="55">
        <v>0.21</v>
      </c>
      <c r="D297" s="55">
        <v>0.46</v>
      </c>
      <c r="E297" s="55">
        <v>0.54</v>
      </c>
      <c r="F297" s="55">
        <v>0.7</v>
      </c>
      <c r="G297" s="55" t="s">
        <v>385</v>
      </c>
      <c r="H297" s="55">
        <v>0.59</v>
      </c>
      <c r="I297" s="55">
        <v>0.94</v>
      </c>
      <c r="J297" s="55">
        <v>1.19</v>
      </c>
      <c r="K297" s="55">
        <v>0.89</v>
      </c>
      <c r="L297" s="55">
        <v>0.67</v>
      </c>
      <c r="M297" s="55">
        <v>0.48</v>
      </c>
      <c r="N297" s="55">
        <v>0.33</v>
      </c>
    </row>
    <row r="298" spans="2:15" x14ac:dyDescent="0.35">
      <c r="B298" s="55">
        <v>0.12</v>
      </c>
      <c r="C298" s="55">
        <v>0.12</v>
      </c>
      <c r="D298" s="55">
        <v>0.09</v>
      </c>
      <c r="E298" s="55">
        <v>0.12</v>
      </c>
      <c r="F298" s="55">
        <v>0.12</v>
      </c>
      <c r="G298" s="55" t="s">
        <v>384</v>
      </c>
      <c r="H298" s="55">
        <v>0.32</v>
      </c>
      <c r="I298" s="55">
        <v>0.87</v>
      </c>
      <c r="J298" s="55">
        <v>1.04</v>
      </c>
      <c r="K298" s="55">
        <v>0.69</v>
      </c>
      <c r="L298" s="55">
        <v>0.39</v>
      </c>
      <c r="M298" s="55">
        <v>0.16</v>
      </c>
      <c r="N298" s="55">
        <v>0.12</v>
      </c>
    </row>
    <row r="299" spans="2:15" x14ac:dyDescent="0.35">
      <c r="B299" s="52"/>
      <c r="C299" s="52"/>
      <c r="D299" s="52"/>
      <c r="E299" s="52"/>
      <c r="F299" s="52"/>
      <c r="G299" s="52"/>
      <c r="H299" s="52"/>
      <c r="I299" s="52"/>
      <c r="J299" s="52"/>
      <c r="K299" s="52"/>
      <c r="L299" s="52"/>
      <c r="M299" s="52"/>
      <c r="N299" s="52"/>
      <c r="O299" s="52"/>
    </row>
    <row r="300" spans="2:15" x14ac:dyDescent="0.35">
      <c r="B300" s="52"/>
      <c r="C300" s="52"/>
      <c r="D300" s="52"/>
      <c r="E300" s="52"/>
      <c r="F300" s="52"/>
      <c r="G300" s="52"/>
      <c r="H300" s="52"/>
      <c r="I300" s="52"/>
      <c r="J300" s="52"/>
      <c r="K300" s="52"/>
      <c r="L300" s="52"/>
      <c r="M300" s="52"/>
      <c r="N300" s="52"/>
      <c r="O300" s="52"/>
    </row>
    <row r="301" spans="2:15" x14ac:dyDescent="0.35">
      <c r="B301" s="54" t="s">
        <v>383</v>
      </c>
      <c r="C301" s="52"/>
      <c r="D301" s="52"/>
      <c r="E301" s="52"/>
      <c r="F301" s="52"/>
      <c r="G301" s="52"/>
      <c r="H301" s="52"/>
      <c r="I301" s="52"/>
      <c r="J301" s="52"/>
      <c r="K301" s="52"/>
      <c r="L301" s="52"/>
      <c r="M301" s="52"/>
      <c r="N301" s="52"/>
      <c r="O301" s="52"/>
    </row>
    <row r="302" spans="2:15" x14ac:dyDescent="0.35">
      <c r="B302" s="54" t="s">
        <v>382</v>
      </c>
      <c r="C302" s="52"/>
      <c r="D302" s="52"/>
      <c r="E302" s="52"/>
      <c r="F302" s="52"/>
      <c r="G302" s="52"/>
      <c r="H302" s="52"/>
      <c r="I302" s="52"/>
      <c r="J302" s="52"/>
      <c r="K302" s="52"/>
      <c r="L302" s="52"/>
      <c r="M302" s="52"/>
      <c r="N302" s="52"/>
      <c r="O302" s="52"/>
    </row>
    <row r="303" spans="2:15" x14ac:dyDescent="0.35">
      <c r="B303" s="52"/>
      <c r="C303" s="52"/>
      <c r="D303" s="52"/>
      <c r="E303" s="52"/>
      <c r="F303" s="52"/>
      <c r="G303" s="52"/>
      <c r="H303" s="52"/>
      <c r="I303" s="52"/>
      <c r="J303" s="52"/>
      <c r="K303" s="52"/>
      <c r="L303" s="52"/>
      <c r="M303" s="52"/>
      <c r="N303" s="52"/>
      <c r="O303" s="52"/>
    </row>
    <row r="304" spans="2:15" x14ac:dyDescent="0.35">
      <c r="B304" s="54" t="s">
        <v>381</v>
      </c>
      <c r="C304" s="53" t="s">
        <v>380</v>
      </c>
      <c r="D304" s="53" t="s">
        <v>379</v>
      </c>
      <c r="E304" s="53" t="s">
        <v>378</v>
      </c>
      <c r="F304" s="53" t="s">
        <v>377</v>
      </c>
      <c r="G304" s="53" t="s">
        <v>376</v>
      </c>
      <c r="H304" s="53"/>
      <c r="I304" s="53" t="s">
        <v>375</v>
      </c>
      <c r="J304" s="53" t="s">
        <v>374</v>
      </c>
      <c r="K304" s="53" t="s">
        <v>373</v>
      </c>
      <c r="L304" s="53" t="s">
        <v>372</v>
      </c>
      <c r="M304" s="53" t="s">
        <v>371</v>
      </c>
      <c r="N304" s="53" t="s">
        <v>370</v>
      </c>
      <c r="O304" s="53" t="s">
        <v>369</v>
      </c>
    </row>
    <row r="305" spans="2:15" x14ac:dyDescent="0.35">
      <c r="B305" s="52" t="s">
        <v>368</v>
      </c>
      <c r="C305" s="52">
        <v>62</v>
      </c>
      <c r="D305" s="52">
        <v>64</v>
      </c>
      <c r="E305" s="52">
        <v>70</v>
      </c>
      <c r="F305" s="52">
        <v>72</v>
      </c>
      <c r="G305" s="52">
        <v>70</v>
      </c>
      <c r="H305" s="52"/>
      <c r="I305" s="52">
        <v>78</v>
      </c>
      <c r="J305" s="52">
        <v>80</v>
      </c>
      <c r="K305" s="52">
        <v>78</v>
      </c>
      <c r="L305" s="52">
        <v>71</v>
      </c>
      <c r="M305" s="52">
        <v>72</v>
      </c>
      <c r="N305" s="52">
        <v>67</v>
      </c>
      <c r="O305" s="52">
        <v>62</v>
      </c>
    </row>
    <row r="306" spans="2:15" x14ac:dyDescent="0.35">
      <c r="B306" s="52" t="s">
        <v>367</v>
      </c>
      <c r="C306" s="52">
        <v>46</v>
      </c>
      <c r="D306" s="52">
        <v>52</v>
      </c>
      <c r="E306" s="52">
        <v>54</v>
      </c>
      <c r="F306" s="52">
        <v>54</v>
      </c>
      <c r="G306" s="52">
        <v>56</v>
      </c>
      <c r="H306" s="52"/>
      <c r="I306" s="52">
        <v>60</v>
      </c>
      <c r="J306" s="52">
        <v>64</v>
      </c>
      <c r="K306" s="52">
        <v>61</v>
      </c>
      <c r="L306" s="52">
        <v>57</v>
      </c>
      <c r="M306" s="52">
        <v>52</v>
      </c>
      <c r="N306" s="52">
        <v>37</v>
      </c>
      <c r="O306" s="52">
        <v>39</v>
      </c>
    </row>
    <row r="307" spans="2:15" x14ac:dyDescent="0.35">
      <c r="B307" s="52" t="s">
        <v>366</v>
      </c>
      <c r="C307" s="52">
        <v>72</v>
      </c>
      <c r="D307" s="52">
        <v>72</v>
      </c>
      <c r="E307" s="52">
        <v>73</v>
      </c>
      <c r="F307" s="52">
        <v>77</v>
      </c>
      <c r="G307" s="52">
        <v>79</v>
      </c>
      <c r="H307" s="52"/>
      <c r="I307" s="52">
        <v>83</v>
      </c>
      <c r="J307" s="52">
        <v>76</v>
      </c>
      <c r="K307" s="52">
        <v>75</v>
      </c>
      <c r="L307" s="52">
        <v>79</v>
      </c>
      <c r="M307" s="52">
        <v>79</v>
      </c>
      <c r="N307" s="52">
        <v>76</v>
      </c>
      <c r="O307" s="52">
        <v>71</v>
      </c>
    </row>
    <row r="308" spans="2:15" x14ac:dyDescent="0.35">
      <c r="B308" s="52" t="s">
        <v>365</v>
      </c>
      <c r="C308" s="52">
        <v>43</v>
      </c>
      <c r="D308" s="52">
        <v>48</v>
      </c>
      <c r="E308" s="52">
        <v>53</v>
      </c>
      <c r="F308" s="52">
        <v>46</v>
      </c>
      <c r="G308" s="52">
        <v>53</v>
      </c>
      <c r="H308" s="52"/>
      <c r="I308" s="52">
        <v>62</v>
      </c>
      <c r="J308" s="52">
        <v>57</v>
      </c>
      <c r="K308" s="52">
        <v>61</v>
      </c>
      <c r="L308" s="52">
        <v>58</v>
      </c>
      <c r="M308" s="52">
        <v>57</v>
      </c>
      <c r="N308" s="52">
        <v>49</v>
      </c>
      <c r="O308" s="52">
        <v>45</v>
      </c>
    </row>
    <row r="309" spans="2:15" x14ac:dyDescent="0.35">
      <c r="B309" s="52" t="s">
        <v>364</v>
      </c>
      <c r="C309" s="52">
        <v>36</v>
      </c>
      <c r="D309" s="52">
        <v>45</v>
      </c>
      <c r="E309" s="52">
        <v>53</v>
      </c>
      <c r="F309" s="52">
        <v>52</v>
      </c>
      <c r="G309" s="52">
        <v>59</v>
      </c>
      <c r="H309" s="52"/>
      <c r="I309" s="52">
        <v>63</v>
      </c>
      <c r="J309" s="52">
        <v>65</v>
      </c>
      <c r="K309" s="52">
        <v>59</v>
      </c>
      <c r="L309" s="52">
        <v>51</v>
      </c>
      <c r="M309" s="52">
        <v>42</v>
      </c>
      <c r="N309" s="52">
        <v>28</v>
      </c>
      <c r="O309" s="52">
        <v>28</v>
      </c>
    </row>
    <row r="310" spans="2:15" x14ac:dyDescent="0.35">
      <c r="B310" s="52" t="s">
        <v>363</v>
      </c>
      <c r="C310" s="52">
        <v>69</v>
      </c>
      <c r="D310" s="52">
        <v>68</v>
      </c>
      <c r="E310" s="52">
        <v>72</v>
      </c>
      <c r="F310" s="52">
        <v>74</v>
      </c>
      <c r="G310" s="52">
        <v>71</v>
      </c>
      <c r="H310" s="52"/>
      <c r="I310" s="52">
        <v>78</v>
      </c>
      <c r="J310" s="52">
        <v>79</v>
      </c>
      <c r="K310" s="52">
        <v>77</v>
      </c>
      <c r="L310" s="52">
        <v>73</v>
      </c>
      <c r="M310" s="52">
        <v>75</v>
      </c>
      <c r="N310" s="52">
        <v>72</v>
      </c>
      <c r="O310" s="52">
        <v>67</v>
      </c>
    </row>
    <row r="311" spans="2:15" x14ac:dyDescent="0.35">
      <c r="B311" s="52" t="s">
        <v>362</v>
      </c>
      <c r="C311" s="52">
        <v>34</v>
      </c>
      <c r="D311" s="52">
        <v>42</v>
      </c>
      <c r="E311" s="52">
        <v>50</v>
      </c>
      <c r="F311" s="52">
        <v>50</v>
      </c>
      <c r="G311" s="52">
        <v>50</v>
      </c>
      <c r="H311" s="52"/>
      <c r="I311" s="52">
        <v>46</v>
      </c>
      <c r="J311" s="52">
        <v>43</v>
      </c>
      <c r="K311" s="52">
        <v>39</v>
      </c>
      <c r="L311" s="52">
        <v>38</v>
      </c>
      <c r="M311" s="52">
        <v>36</v>
      </c>
      <c r="N311" s="52">
        <v>32</v>
      </c>
      <c r="O311" s="52">
        <v>27</v>
      </c>
    </row>
    <row r="312" spans="2:15" x14ac:dyDescent="0.35">
      <c r="B312" s="52" t="s">
        <v>361</v>
      </c>
      <c r="C312" s="52">
        <v>58</v>
      </c>
      <c r="D312" s="52">
        <v>61</v>
      </c>
      <c r="E312" s="52">
        <v>65</v>
      </c>
      <c r="F312" s="52">
        <v>74</v>
      </c>
      <c r="G312" s="52">
        <v>77</v>
      </c>
      <c r="H312" s="52"/>
      <c r="I312" s="52">
        <v>71</v>
      </c>
      <c r="J312" s="52">
        <v>64</v>
      </c>
      <c r="K312" s="52">
        <v>64</v>
      </c>
      <c r="L312" s="52">
        <v>66</v>
      </c>
      <c r="M312" s="52">
        <v>74</v>
      </c>
      <c r="N312" s="52">
        <v>67</v>
      </c>
      <c r="O312" s="52">
        <v>57</v>
      </c>
    </row>
    <row r="313" spans="2:15" x14ac:dyDescent="0.35">
      <c r="B313" s="52" t="s">
        <v>360</v>
      </c>
      <c r="C313" s="52">
        <v>55</v>
      </c>
      <c r="D313" s="52">
        <v>59</v>
      </c>
      <c r="E313" s="52">
        <v>61</v>
      </c>
      <c r="F313" s="52">
        <v>66</v>
      </c>
      <c r="G313" s="52">
        <v>61</v>
      </c>
      <c r="H313" s="52"/>
      <c r="I313" s="52">
        <v>62</v>
      </c>
      <c r="J313" s="52">
        <v>60</v>
      </c>
      <c r="K313" s="52">
        <v>54</v>
      </c>
      <c r="L313" s="52">
        <v>56</v>
      </c>
      <c r="M313" s="52">
        <v>61</v>
      </c>
      <c r="N313" s="52">
        <v>58</v>
      </c>
      <c r="O313" s="52">
        <v>55</v>
      </c>
    </row>
    <row r="314" spans="2:15" x14ac:dyDescent="0.35">
      <c r="B314" s="52" t="s">
        <v>359</v>
      </c>
      <c r="C314" s="52">
        <v>49</v>
      </c>
      <c r="D314" s="52">
        <v>54</v>
      </c>
      <c r="E314" s="52">
        <v>58</v>
      </c>
      <c r="F314" s="52">
        <v>66</v>
      </c>
      <c r="G314" s="52">
        <v>68</v>
      </c>
      <c r="H314" s="52"/>
      <c r="I314" s="52">
        <v>67</v>
      </c>
      <c r="J314" s="52">
        <v>63</v>
      </c>
      <c r="K314" s="52">
        <v>64</v>
      </c>
      <c r="L314" s="52">
        <v>62</v>
      </c>
      <c r="M314" s="52">
        <v>66</v>
      </c>
      <c r="N314" s="52">
        <v>58</v>
      </c>
      <c r="O314" s="52">
        <v>50</v>
      </c>
    </row>
    <row r="315" spans="2:15" x14ac:dyDescent="0.35">
      <c r="B315" s="52" t="s">
        <v>358</v>
      </c>
      <c r="C315" s="52">
        <v>50</v>
      </c>
      <c r="D315" s="52">
        <v>53</v>
      </c>
      <c r="E315" s="52">
        <v>55</v>
      </c>
      <c r="F315" s="52">
        <v>56</v>
      </c>
      <c r="G315" s="52">
        <v>56</v>
      </c>
      <c r="H315" s="52"/>
      <c r="I315" s="52">
        <v>60</v>
      </c>
      <c r="J315" s="52">
        <v>61</v>
      </c>
      <c r="K315" s="52">
        <v>65</v>
      </c>
      <c r="L315" s="52">
        <v>61</v>
      </c>
      <c r="M315" s="52">
        <v>59</v>
      </c>
      <c r="N315" s="52">
        <v>51</v>
      </c>
      <c r="O315" s="52">
        <v>47</v>
      </c>
    </row>
    <row r="316" spans="2:15" x14ac:dyDescent="0.35">
      <c r="B316" s="52" t="s">
        <v>357</v>
      </c>
      <c r="C316" s="52">
        <v>49</v>
      </c>
      <c r="D316" s="52">
        <v>51</v>
      </c>
      <c r="E316" s="52">
        <v>55</v>
      </c>
      <c r="F316" s="52">
        <v>54</v>
      </c>
      <c r="G316" s="52">
        <v>56</v>
      </c>
      <c r="H316" s="52"/>
      <c r="I316" s="52">
        <v>69</v>
      </c>
      <c r="J316" s="52">
        <v>75</v>
      </c>
      <c r="K316" s="52">
        <v>74</v>
      </c>
      <c r="L316" s="52">
        <v>66</v>
      </c>
      <c r="M316" s="52">
        <v>63</v>
      </c>
      <c r="N316" s="52">
        <v>56</v>
      </c>
      <c r="O316" s="52">
        <v>49</v>
      </c>
    </row>
    <row r="317" spans="2:15" x14ac:dyDescent="0.35">
      <c r="B317" s="52" t="s">
        <v>356</v>
      </c>
      <c r="C317" s="52">
        <v>49</v>
      </c>
      <c r="D317" s="52">
        <v>51</v>
      </c>
      <c r="E317" s="52">
        <v>55</v>
      </c>
      <c r="F317" s="52">
        <v>54</v>
      </c>
      <c r="G317" s="52">
        <v>56</v>
      </c>
      <c r="H317" s="52"/>
      <c r="I317" s="52">
        <v>69</v>
      </c>
      <c r="J317" s="52">
        <v>75</v>
      </c>
      <c r="K317" s="52">
        <v>74</v>
      </c>
      <c r="L317" s="52">
        <v>66</v>
      </c>
      <c r="M317" s="52">
        <v>64</v>
      </c>
      <c r="N317" s="52">
        <v>54</v>
      </c>
      <c r="O317" s="52">
        <v>49</v>
      </c>
    </row>
    <row r="318" spans="2:15" x14ac:dyDescent="0.35">
      <c r="B318" s="52" t="s">
        <v>355</v>
      </c>
      <c r="C318" s="52">
        <v>41</v>
      </c>
      <c r="D318" s="52">
        <v>47</v>
      </c>
      <c r="E318" s="52">
        <v>50</v>
      </c>
      <c r="F318" s="52">
        <v>53</v>
      </c>
      <c r="G318" s="52">
        <v>57</v>
      </c>
      <c r="H318" s="52"/>
      <c r="I318" s="52">
        <v>61</v>
      </c>
      <c r="J318" s="52">
        <v>62</v>
      </c>
      <c r="K318" s="52">
        <v>61</v>
      </c>
      <c r="L318" s="52">
        <v>55</v>
      </c>
      <c r="M318" s="52">
        <v>52</v>
      </c>
      <c r="N318" s="52">
        <v>36</v>
      </c>
      <c r="O318" s="52">
        <v>34</v>
      </c>
    </row>
    <row r="319" spans="2:15" x14ac:dyDescent="0.35">
      <c r="B319" s="52" t="s">
        <v>354</v>
      </c>
      <c r="C319" s="52">
        <v>51</v>
      </c>
      <c r="D319" s="52">
        <v>55</v>
      </c>
      <c r="E319" s="52">
        <v>56</v>
      </c>
      <c r="F319" s="52">
        <v>56</v>
      </c>
      <c r="G319" s="52">
        <v>56</v>
      </c>
      <c r="H319" s="52"/>
      <c r="I319" s="52">
        <v>62</v>
      </c>
      <c r="J319" s="52">
        <v>64</v>
      </c>
      <c r="K319" s="52">
        <v>62</v>
      </c>
      <c r="L319" s="52">
        <v>60</v>
      </c>
      <c r="M319" s="52">
        <v>58</v>
      </c>
      <c r="N319" s="52">
        <v>51</v>
      </c>
      <c r="O319" s="52">
        <v>49</v>
      </c>
    </row>
    <row r="320" spans="2:15" x14ac:dyDescent="0.35">
      <c r="B320" s="52" t="s">
        <v>353</v>
      </c>
      <c r="C320" s="52">
        <v>47</v>
      </c>
      <c r="D320" s="52">
        <v>53</v>
      </c>
      <c r="E320" s="52">
        <v>61</v>
      </c>
      <c r="F320" s="52">
        <v>60</v>
      </c>
      <c r="G320" s="52">
        <v>61</v>
      </c>
      <c r="H320" s="52"/>
      <c r="I320" s="52">
        <v>64</v>
      </c>
      <c r="J320" s="52">
        <v>76</v>
      </c>
      <c r="K320" s="52">
        <v>75</v>
      </c>
      <c r="L320" s="52">
        <v>68</v>
      </c>
      <c r="M320" s="52">
        <v>61</v>
      </c>
      <c r="N320" s="52">
        <v>46</v>
      </c>
      <c r="O320" s="52">
        <v>45</v>
      </c>
    </row>
    <row r="321" spans="2:15" x14ac:dyDescent="0.35">
      <c r="B321" s="52" t="s">
        <v>352</v>
      </c>
      <c r="C321" s="52">
        <v>37</v>
      </c>
      <c r="D321" s="52">
        <v>42</v>
      </c>
      <c r="E321" s="52">
        <v>46</v>
      </c>
      <c r="F321" s="52">
        <v>50</v>
      </c>
      <c r="G321" s="52">
        <v>56</v>
      </c>
      <c r="H321" s="52"/>
      <c r="I321" s="52">
        <v>62</v>
      </c>
      <c r="J321" s="52">
        <v>64</v>
      </c>
      <c r="K321" s="52">
        <v>61</v>
      </c>
      <c r="L321" s="52">
        <v>55</v>
      </c>
      <c r="M321" s="52">
        <v>49</v>
      </c>
      <c r="N321" s="52">
        <v>32</v>
      </c>
      <c r="O321" s="52">
        <v>29</v>
      </c>
    </row>
    <row r="322" spans="2:15" x14ac:dyDescent="0.35">
      <c r="B322" s="52" t="s">
        <v>351</v>
      </c>
      <c r="C322" s="52">
        <v>42</v>
      </c>
      <c r="D322" s="52">
        <v>50</v>
      </c>
      <c r="E322" s="52">
        <v>54</v>
      </c>
      <c r="F322" s="52">
        <v>63</v>
      </c>
      <c r="G322" s="52">
        <v>66</v>
      </c>
      <c r="H322" s="52"/>
      <c r="I322" s="52">
        <v>65</v>
      </c>
      <c r="J322" s="52">
        <v>59</v>
      </c>
      <c r="K322" s="52">
        <v>63</v>
      </c>
      <c r="L322" s="52">
        <v>61</v>
      </c>
      <c r="M322" s="52">
        <v>66</v>
      </c>
      <c r="N322" s="52">
        <v>55</v>
      </c>
      <c r="O322" s="52">
        <v>46</v>
      </c>
    </row>
    <row r="323" spans="2:15" x14ac:dyDescent="0.35">
      <c r="B323" s="52" t="s">
        <v>350</v>
      </c>
      <c r="C323" s="52">
        <v>48</v>
      </c>
      <c r="D323" s="52">
        <v>48</v>
      </c>
      <c r="E323" s="52">
        <v>62</v>
      </c>
      <c r="F323" s="52">
        <v>61</v>
      </c>
      <c r="G323" s="52">
        <v>64</v>
      </c>
      <c r="H323" s="52"/>
      <c r="I323" s="52">
        <v>63</v>
      </c>
      <c r="J323" s="52">
        <v>60</v>
      </c>
      <c r="K323" s="52">
        <v>62</v>
      </c>
      <c r="L323" s="52">
        <v>57</v>
      </c>
      <c r="M323" s="52">
        <v>63</v>
      </c>
      <c r="N323" s="52">
        <v>49</v>
      </c>
      <c r="O323" s="52">
        <v>52</v>
      </c>
    </row>
    <row r="324" spans="2:15" x14ac:dyDescent="0.35">
      <c r="B324" s="52" t="s">
        <v>349</v>
      </c>
      <c r="C324" s="52">
        <v>53</v>
      </c>
      <c r="D324" s="52">
        <v>53</v>
      </c>
      <c r="E324" s="52">
        <v>58</v>
      </c>
      <c r="F324" s="52">
        <v>58</v>
      </c>
      <c r="G324" s="52">
        <v>61</v>
      </c>
      <c r="H324" s="52"/>
      <c r="I324" s="52">
        <v>64</v>
      </c>
      <c r="J324" s="52">
        <v>73</v>
      </c>
      <c r="K324" s="52">
        <v>72</v>
      </c>
      <c r="L324" s="52">
        <v>65</v>
      </c>
      <c r="M324" s="52">
        <v>58</v>
      </c>
      <c r="N324" s="52">
        <v>43</v>
      </c>
      <c r="O324" s="52">
        <v>47</v>
      </c>
    </row>
    <row r="325" spans="2:15" x14ac:dyDescent="0.35">
      <c r="B325" s="52" t="s">
        <v>348</v>
      </c>
      <c r="C325" s="52">
        <v>46</v>
      </c>
      <c r="D325" s="52">
        <v>50</v>
      </c>
      <c r="E325" s="52">
        <v>48</v>
      </c>
      <c r="F325" s="52">
        <v>49</v>
      </c>
      <c r="G325" s="52">
        <v>52</v>
      </c>
      <c r="H325" s="52"/>
      <c r="I325" s="52">
        <v>55</v>
      </c>
      <c r="J325" s="52">
        <v>57</v>
      </c>
      <c r="K325" s="52">
        <v>58</v>
      </c>
      <c r="L325" s="52">
        <v>56</v>
      </c>
      <c r="M325" s="52">
        <v>55</v>
      </c>
      <c r="N325" s="52">
        <v>47</v>
      </c>
      <c r="O325" s="52">
        <v>46</v>
      </c>
    </row>
    <row r="326" spans="2:15" x14ac:dyDescent="0.35">
      <c r="B326" s="52" t="s">
        <v>347</v>
      </c>
      <c r="C326" s="52">
        <v>40</v>
      </c>
      <c r="D326" s="52">
        <v>50</v>
      </c>
      <c r="E326" s="52">
        <v>62</v>
      </c>
      <c r="F326" s="52">
        <v>68</v>
      </c>
      <c r="G326" s="52">
        <v>70</v>
      </c>
      <c r="H326" s="52"/>
      <c r="I326" s="52">
        <v>75</v>
      </c>
      <c r="J326" s="52">
        <v>87</v>
      </c>
      <c r="K326" s="52">
        <v>85</v>
      </c>
      <c r="L326" s="52">
        <v>82</v>
      </c>
      <c r="M326" s="52">
        <v>69</v>
      </c>
      <c r="N326" s="52">
        <v>43</v>
      </c>
      <c r="O326" s="52">
        <v>38</v>
      </c>
    </row>
    <row r="327" spans="2:15" x14ac:dyDescent="0.35">
      <c r="B327" s="52" t="s">
        <v>346</v>
      </c>
      <c r="C327" s="52">
        <v>53</v>
      </c>
      <c r="D327" s="52">
        <v>56</v>
      </c>
      <c r="E327" s="52">
        <v>57</v>
      </c>
      <c r="F327" s="52">
        <v>56</v>
      </c>
      <c r="G327" s="52">
        <v>58</v>
      </c>
      <c r="H327" s="52"/>
      <c r="I327" s="52">
        <v>63</v>
      </c>
      <c r="J327" s="52">
        <v>65</v>
      </c>
      <c r="K327" s="52">
        <v>65</v>
      </c>
      <c r="L327" s="52">
        <v>63</v>
      </c>
      <c r="M327" s="52">
        <v>60</v>
      </c>
      <c r="N327" s="52">
        <v>50</v>
      </c>
      <c r="O327" s="52">
        <v>52</v>
      </c>
    </row>
    <row r="328" spans="2:15" x14ac:dyDescent="0.35">
      <c r="B328" s="52" t="s">
        <v>345</v>
      </c>
      <c r="C328" s="52">
        <v>41</v>
      </c>
      <c r="D328" s="52">
        <v>48</v>
      </c>
      <c r="E328" s="52">
        <v>53</v>
      </c>
      <c r="F328" s="52">
        <v>58</v>
      </c>
      <c r="G328" s="52">
        <v>63</v>
      </c>
      <c r="H328" s="52"/>
      <c r="I328" s="52">
        <v>73</v>
      </c>
      <c r="J328" s="52">
        <v>80</v>
      </c>
      <c r="K328" s="52">
        <v>76</v>
      </c>
      <c r="L328" s="52">
        <v>68</v>
      </c>
      <c r="M328" s="52">
        <v>65</v>
      </c>
      <c r="N328" s="52">
        <v>51</v>
      </c>
      <c r="O328" s="52">
        <v>42</v>
      </c>
    </row>
    <row r="329" spans="2:15" x14ac:dyDescent="0.35">
      <c r="B329" s="52" t="s">
        <v>344</v>
      </c>
      <c r="C329" s="52">
        <v>31</v>
      </c>
      <c r="D329" s="52">
        <v>38</v>
      </c>
      <c r="E329" s="52">
        <v>46</v>
      </c>
      <c r="F329" s="52">
        <v>51</v>
      </c>
      <c r="G329" s="52">
        <v>56</v>
      </c>
      <c r="H329" s="52"/>
      <c r="I329" s="52">
        <v>65</v>
      </c>
      <c r="J329" s="52">
        <v>67</v>
      </c>
      <c r="K329" s="52">
        <v>64</v>
      </c>
      <c r="L329" s="52">
        <v>57</v>
      </c>
      <c r="M329" s="52">
        <v>50</v>
      </c>
      <c r="N329" s="52">
        <v>29</v>
      </c>
      <c r="O329" s="52">
        <v>27</v>
      </c>
    </row>
    <row r="330" spans="2:15" x14ac:dyDescent="0.35">
      <c r="B330" s="52" t="s">
        <v>343</v>
      </c>
      <c r="C330" s="52">
        <v>41</v>
      </c>
      <c r="D330" s="52">
        <v>48</v>
      </c>
      <c r="E330" s="52">
        <v>51</v>
      </c>
      <c r="F330" s="52">
        <v>49</v>
      </c>
      <c r="G330" s="52">
        <v>56</v>
      </c>
      <c r="H330" s="52"/>
      <c r="I330" s="52">
        <v>59</v>
      </c>
      <c r="J330" s="52">
        <v>64</v>
      </c>
      <c r="K330" s="52">
        <v>60</v>
      </c>
      <c r="L330" s="52">
        <v>54</v>
      </c>
      <c r="M330" s="52">
        <v>47</v>
      </c>
      <c r="N330" s="52">
        <v>31</v>
      </c>
      <c r="O330" s="52">
        <v>33</v>
      </c>
    </row>
    <row r="331" spans="2:15" x14ac:dyDescent="0.35">
      <c r="B331" s="52" t="s">
        <v>342</v>
      </c>
      <c r="C331" s="52">
        <v>45</v>
      </c>
      <c r="D331" s="52">
        <v>50</v>
      </c>
      <c r="E331" s="52">
        <v>56</v>
      </c>
      <c r="F331" s="52">
        <v>62</v>
      </c>
      <c r="G331" s="52">
        <v>65</v>
      </c>
      <c r="H331" s="52"/>
      <c r="I331" s="52">
        <v>72</v>
      </c>
      <c r="J331" s="52">
        <v>74</v>
      </c>
      <c r="K331" s="52">
        <v>75</v>
      </c>
      <c r="L331" s="52">
        <v>69</v>
      </c>
      <c r="M331" s="52">
        <v>67</v>
      </c>
      <c r="N331" s="52">
        <v>51</v>
      </c>
      <c r="O331" s="52">
        <v>44</v>
      </c>
    </row>
    <row r="332" spans="2:15" x14ac:dyDescent="0.35">
      <c r="B332" s="52" t="s">
        <v>341</v>
      </c>
      <c r="C332" s="52">
        <v>48</v>
      </c>
      <c r="D332" s="52">
        <v>52</v>
      </c>
      <c r="E332" s="52">
        <v>60</v>
      </c>
      <c r="F332" s="52">
        <v>67</v>
      </c>
      <c r="G332" s="52">
        <v>65</v>
      </c>
      <c r="H332" s="52"/>
      <c r="I332" s="52">
        <v>65</v>
      </c>
      <c r="J332" s="52">
        <v>65</v>
      </c>
      <c r="K332" s="52">
        <v>65</v>
      </c>
      <c r="L332" s="52">
        <v>64</v>
      </c>
      <c r="M332" s="52">
        <v>60</v>
      </c>
      <c r="N332" s="52">
        <v>56</v>
      </c>
      <c r="O332" s="52">
        <v>48</v>
      </c>
    </row>
    <row r="333" spans="2:15" x14ac:dyDescent="0.35">
      <c r="B333" s="52" t="s">
        <v>340</v>
      </c>
      <c r="C333" s="52">
        <v>56</v>
      </c>
      <c r="D333" s="52">
        <v>59</v>
      </c>
      <c r="E333" s="52">
        <v>66</v>
      </c>
      <c r="F333" s="52">
        <v>72</v>
      </c>
      <c r="G333" s="52">
        <v>68</v>
      </c>
      <c r="H333" s="52"/>
      <c r="I333" s="52">
        <v>66</v>
      </c>
      <c r="J333" s="52">
        <v>67</v>
      </c>
      <c r="K333" s="52">
        <v>64</v>
      </c>
      <c r="L333" s="52">
        <v>61</v>
      </c>
      <c r="M333" s="52">
        <v>63</v>
      </c>
      <c r="N333" s="52">
        <v>59</v>
      </c>
      <c r="O333" s="52">
        <v>56</v>
      </c>
    </row>
    <row r="334" spans="2:15" x14ac:dyDescent="0.35">
      <c r="B334" s="52" t="s">
        <v>339</v>
      </c>
      <c r="C334" s="52">
        <v>54</v>
      </c>
      <c r="D334" s="52">
        <v>58</v>
      </c>
      <c r="E334" s="52">
        <v>61</v>
      </c>
      <c r="F334" s="52">
        <v>68</v>
      </c>
      <c r="G334" s="52">
        <v>67</v>
      </c>
      <c r="H334" s="52"/>
      <c r="I334" s="52">
        <v>67</v>
      </c>
      <c r="J334" s="52">
        <v>67</v>
      </c>
      <c r="K334" s="52">
        <v>65</v>
      </c>
      <c r="L334" s="52">
        <v>64</v>
      </c>
      <c r="M334" s="52">
        <v>65</v>
      </c>
      <c r="N334" s="52">
        <v>58</v>
      </c>
      <c r="O334" s="52">
        <v>55</v>
      </c>
    </row>
    <row r="335" spans="2:15" x14ac:dyDescent="0.35">
      <c r="B335" s="52" t="s">
        <v>338</v>
      </c>
      <c r="C335" s="52">
        <v>43</v>
      </c>
      <c r="D335" s="52">
        <v>49</v>
      </c>
      <c r="E335" s="52">
        <v>53</v>
      </c>
      <c r="F335" s="52">
        <v>61</v>
      </c>
      <c r="G335" s="52">
        <v>65</v>
      </c>
      <c r="H335" s="52"/>
      <c r="I335" s="52">
        <v>65</v>
      </c>
      <c r="J335" s="52">
        <v>62</v>
      </c>
      <c r="K335" s="52">
        <v>63</v>
      </c>
      <c r="L335" s="52">
        <v>64</v>
      </c>
      <c r="M335" s="52">
        <v>63</v>
      </c>
      <c r="N335" s="52">
        <v>53</v>
      </c>
      <c r="O335" s="52">
        <v>44</v>
      </c>
    </row>
    <row r="336" spans="2:15" x14ac:dyDescent="0.35">
      <c r="B336" s="52" t="s">
        <v>337</v>
      </c>
      <c r="C336" s="52">
        <v>64</v>
      </c>
      <c r="D336" s="52">
        <v>67</v>
      </c>
      <c r="E336" s="52">
        <v>67</v>
      </c>
      <c r="F336" s="52">
        <v>63</v>
      </c>
      <c r="G336" s="52">
        <v>61</v>
      </c>
      <c r="H336" s="52"/>
      <c r="I336" s="52">
        <v>67</v>
      </c>
      <c r="J336" s="52">
        <v>69</v>
      </c>
      <c r="K336" s="52">
        <v>68</v>
      </c>
      <c r="L336" s="52">
        <v>70</v>
      </c>
      <c r="M336" s="52">
        <v>69</v>
      </c>
      <c r="N336" s="52">
        <v>61</v>
      </c>
      <c r="O336" s="52">
        <v>60</v>
      </c>
    </row>
    <row r="337" spans="2:15" x14ac:dyDescent="0.35">
      <c r="B337" s="52" t="s">
        <v>336</v>
      </c>
      <c r="C337" s="52">
        <v>44</v>
      </c>
      <c r="D337" s="52">
        <v>49</v>
      </c>
      <c r="E337" s="52">
        <v>51</v>
      </c>
      <c r="F337" s="52">
        <v>50</v>
      </c>
      <c r="G337" s="52">
        <v>58</v>
      </c>
      <c r="H337" s="52"/>
      <c r="I337" s="52">
        <v>67</v>
      </c>
      <c r="J337" s="52">
        <v>66</v>
      </c>
      <c r="K337" s="52">
        <v>62</v>
      </c>
      <c r="L337" s="52">
        <v>59</v>
      </c>
      <c r="M337" s="52">
        <v>55</v>
      </c>
      <c r="N337" s="52">
        <v>38</v>
      </c>
      <c r="O337" s="52">
        <v>43</v>
      </c>
    </row>
    <row r="338" spans="2:15" x14ac:dyDescent="0.35">
      <c r="B338" s="52" t="s">
        <v>335</v>
      </c>
      <c r="C338" s="52">
        <v>50</v>
      </c>
      <c r="D338" s="52">
        <v>55</v>
      </c>
      <c r="E338" s="52">
        <v>56</v>
      </c>
      <c r="F338" s="52">
        <v>50</v>
      </c>
      <c r="G338" s="52">
        <v>47</v>
      </c>
      <c r="H338" s="52"/>
      <c r="I338" s="52">
        <v>44</v>
      </c>
      <c r="J338" s="52">
        <v>47</v>
      </c>
      <c r="K338" s="52">
        <v>48</v>
      </c>
      <c r="L338" s="52">
        <v>44</v>
      </c>
      <c r="M338" s="52">
        <v>42</v>
      </c>
      <c r="N338" s="52">
        <v>44</v>
      </c>
      <c r="O338" s="52">
        <v>43</v>
      </c>
    </row>
    <row r="339" spans="2:15" x14ac:dyDescent="0.35">
      <c r="B339" s="52" t="s">
        <v>334</v>
      </c>
      <c r="C339" s="52">
        <v>30</v>
      </c>
      <c r="D339" s="52">
        <v>37</v>
      </c>
      <c r="E339" s="52">
        <v>45</v>
      </c>
      <c r="F339" s="52">
        <v>52</v>
      </c>
      <c r="G339" s="52">
        <v>58</v>
      </c>
      <c r="H339" s="52"/>
      <c r="I339" s="52">
        <v>65</v>
      </c>
      <c r="J339" s="52">
        <v>67</v>
      </c>
      <c r="K339" s="52">
        <v>63</v>
      </c>
      <c r="L339" s="52">
        <v>60</v>
      </c>
      <c r="M339" s="52">
        <v>52</v>
      </c>
      <c r="N339" s="52">
        <v>31</v>
      </c>
      <c r="O339" s="52">
        <v>25</v>
      </c>
    </row>
    <row r="340" spans="2:15" x14ac:dyDescent="0.35">
      <c r="B340" s="52" t="s">
        <v>333</v>
      </c>
      <c r="C340" s="52">
        <v>50</v>
      </c>
      <c r="D340" s="52">
        <v>49</v>
      </c>
      <c r="E340" s="52">
        <v>50</v>
      </c>
      <c r="F340" s="52">
        <v>55</v>
      </c>
      <c r="G340" s="52">
        <v>57</v>
      </c>
      <c r="H340" s="52"/>
      <c r="I340" s="52">
        <v>64</v>
      </c>
      <c r="J340" s="52">
        <v>67</v>
      </c>
      <c r="K340" s="52">
        <v>64</v>
      </c>
      <c r="L340" s="52">
        <v>60</v>
      </c>
      <c r="M340" s="52">
        <v>59</v>
      </c>
      <c r="N340" s="52">
        <v>47</v>
      </c>
      <c r="O340" s="52">
        <v>45</v>
      </c>
    </row>
    <row r="341" spans="2:15" x14ac:dyDescent="0.35">
      <c r="B341" s="52" t="s">
        <v>332</v>
      </c>
      <c r="C341" s="52">
        <v>55</v>
      </c>
      <c r="D341" s="52">
        <v>59</v>
      </c>
      <c r="E341" s="52">
        <v>64</v>
      </c>
      <c r="F341" s="52">
        <v>70</v>
      </c>
      <c r="G341" s="52">
        <v>68</v>
      </c>
      <c r="H341" s="52"/>
      <c r="I341" s="52">
        <v>67</v>
      </c>
      <c r="J341" s="52">
        <v>67</v>
      </c>
      <c r="K341" s="52">
        <v>66</v>
      </c>
      <c r="L341" s="52">
        <v>65</v>
      </c>
      <c r="M341" s="52">
        <v>67</v>
      </c>
      <c r="N341" s="52">
        <v>63</v>
      </c>
      <c r="O341" s="52">
        <v>59</v>
      </c>
    </row>
    <row r="342" spans="2:15" x14ac:dyDescent="0.35">
      <c r="B342" s="52" t="s">
        <v>331</v>
      </c>
      <c r="C342" s="52">
        <v>36</v>
      </c>
      <c r="D342" s="52">
        <v>42</v>
      </c>
      <c r="E342" s="52">
        <v>44</v>
      </c>
      <c r="F342" s="52">
        <v>51</v>
      </c>
      <c r="G342" s="52">
        <v>56</v>
      </c>
      <c r="H342" s="52"/>
      <c r="I342" s="52">
        <v>60</v>
      </c>
      <c r="J342" s="52">
        <v>60</v>
      </c>
      <c r="K342" s="52">
        <v>60</v>
      </c>
      <c r="L342" s="52">
        <v>61</v>
      </c>
      <c r="M342" s="52">
        <v>56</v>
      </c>
      <c r="N342" s="52">
        <v>37</v>
      </c>
      <c r="O342" s="52">
        <v>31</v>
      </c>
    </row>
    <row r="343" spans="2:15" x14ac:dyDescent="0.35">
      <c r="B343" s="52" t="s">
        <v>330</v>
      </c>
      <c r="C343" s="52">
        <v>52</v>
      </c>
      <c r="D343" s="52">
        <v>55</v>
      </c>
      <c r="E343" s="52">
        <v>53</v>
      </c>
      <c r="F343" s="52">
        <v>53</v>
      </c>
      <c r="G343" s="52">
        <v>55</v>
      </c>
      <c r="H343" s="52"/>
      <c r="I343" s="52">
        <v>58</v>
      </c>
      <c r="J343" s="52">
        <v>62</v>
      </c>
      <c r="K343" s="52">
        <v>60</v>
      </c>
      <c r="L343" s="52">
        <v>56</v>
      </c>
      <c r="M343" s="52">
        <v>53</v>
      </c>
      <c r="N343" s="52">
        <v>42</v>
      </c>
      <c r="O343" s="52">
        <v>47</v>
      </c>
    </row>
    <row r="344" spans="2:15" x14ac:dyDescent="0.35">
      <c r="B344" s="52" t="s">
        <v>329</v>
      </c>
      <c r="C344" s="52">
        <v>64</v>
      </c>
      <c r="D344" s="52">
        <v>63</v>
      </c>
      <c r="E344" s="52">
        <v>63</v>
      </c>
      <c r="F344" s="52">
        <v>65</v>
      </c>
      <c r="G344" s="52">
        <v>67</v>
      </c>
      <c r="H344" s="52"/>
      <c r="I344" s="52">
        <v>76</v>
      </c>
      <c r="J344" s="52">
        <v>78</v>
      </c>
      <c r="K344" s="52">
        <v>76</v>
      </c>
      <c r="L344" s="52">
        <v>70</v>
      </c>
      <c r="M344" s="52">
        <v>68</v>
      </c>
      <c r="N344" s="52">
        <v>59</v>
      </c>
      <c r="O344" s="52">
        <v>57</v>
      </c>
    </row>
    <row r="345" spans="2:15" x14ac:dyDescent="0.35">
      <c r="B345" s="52" t="s">
        <v>328</v>
      </c>
      <c r="C345" s="52">
        <v>44</v>
      </c>
      <c r="D345" s="52">
        <v>49</v>
      </c>
      <c r="E345" s="52">
        <v>54</v>
      </c>
      <c r="F345" s="52">
        <v>56</v>
      </c>
      <c r="G345" s="52">
        <v>59</v>
      </c>
      <c r="H345" s="52"/>
      <c r="I345" s="52">
        <v>72</v>
      </c>
      <c r="J345" s="52">
        <v>80</v>
      </c>
      <c r="K345" s="52">
        <v>76</v>
      </c>
      <c r="L345" s="52">
        <v>68</v>
      </c>
      <c r="M345" s="52">
        <v>67</v>
      </c>
      <c r="N345" s="52">
        <v>54</v>
      </c>
      <c r="O345" s="52">
        <v>43</v>
      </c>
    </row>
    <row r="346" spans="2:15" x14ac:dyDescent="0.35">
      <c r="B346" s="52" t="s">
        <v>327</v>
      </c>
      <c r="C346" s="52">
        <v>52</v>
      </c>
      <c r="D346" s="52">
        <v>54</v>
      </c>
      <c r="E346" s="52">
        <v>58</v>
      </c>
      <c r="F346" s="52">
        <v>61</v>
      </c>
      <c r="G346" s="52">
        <v>57</v>
      </c>
      <c r="H346" s="52"/>
      <c r="I346" s="52">
        <v>67</v>
      </c>
      <c r="J346" s="52">
        <v>75</v>
      </c>
      <c r="K346" s="52">
        <v>73</v>
      </c>
      <c r="L346" s="52">
        <v>67</v>
      </c>
      <c r="M346" s="52">
        <v>63</v>
      </c>
      <c r="N346" s="52">
        <v>57</v>
      </c>
      <c r="O346" s="52">
        <v>52</v>
      </c>
    </row>
    <row r="347" spans="2:15" x14ac:dyDescent="0.35">
      <c r="B347" s="52" t="s">
        <v>326</v>
      </c>
      <c r="C347" s="52">
        <v>40</v>
      </c>
      <c r="D347" s="52">
        <v>44</v>
      </c>
      <c r="E347" s="52">
        <v>48</v>
      </c>
      <c r="F347" s="52">
        <v>52</v>
      </c>
      <c r="G347" s="52">
        <v>58</v>
      </c>
      <c r="H347" s="52"/>
      <c r="I347" s="52">
        <v>66</v>
      </c>
      <c r="J347" s="52">
        <v>66</v>
      </c>
      <c r="K347" s="52">
        <v>67</v>
      </c>
      <c r="L347" s="52">
        <v>65</v>
      </c>
      <c r="M347" s="52">
        <v>59</v>
      </c>
      <c r="N347" s="52">
        <v>40</v>
      </c>
      <c r="O347" s="52">
        <v>36</v>
      </c>
    </row>
    <row r="348" spans="2:15" x14ac:dyDescent="0.35">
      <c r="B348" s="52" t="s">
        <v>325</v>
      </c>
      <c r="C348" s="52">
        <v>71</v>
      </c>
      <c r="D348" s="52">
        <v>69</v>
      </c>
      <c r="E348" s="52">
        <v>69</v>
      </c>
      <c r="F348" s="52">
        <v>67</v>
      </c>
      <c r="G348" s="52">
        <v>64</v>
      </c>
      <c r="H348" s="52"/>
      <c r="I348" s="52">
        <v>70</v>
      </c>
      <c r="J348" s="52">
        <v>71</v>
      </c>
      <c r="K348" s="52">
        <v>71</v>
      </c>
      <c r="L348" s="52">
        <v>74</v>
      </c>
      <c r="M348" s="52">
        <v>72</v>
      </c>
      <c r="N348" s="52">
        <v>64</v>
      </c>
      <c r="O348" s="52">
        <v>67</v>
      </c>
    </row>
    <row r="349" spans="2:15" x14ac:dyDescent="0.35">
      <c r="B349" s="52" t="s">
        <v>324</v>
      </c>
      <c r="C349" s="52">
        <v>51</v>
      </c>
      <c r="D349" s="52">
        <v>54</v>
      </c>
      <c r="E349" s="52">
        <v>57</v>
      </c>
      <c r="F349" s="52">
        <v>56</v>
      </c>
      <c r="G349" s="52">
        <v>61</v>
      </c>
      <c r="H349" s="52"/>
      <c r="I349" s="52">
        <v>68</v>
      </c>
      <c r="J349" s="52">
        <v>72</v>
      </c>
      <c r="K349" s="52">
        <v>70</v>
      </c>
      <c r="L349" s="52">
        <v>66</v>
      </c>
      <c r="M349" s="52">
        <v>62</v>
      </c>
      <c r="N349" s="52">
        <v>49</v>
      </c>
      <c r="O349" s="52">
        <v>46</v>
      </c>
    </row>
    <row r="350" spans="2:15" x14ac:dyDescent="0.35">
      <c r="B350" s="52" t="s">
        <v>323</v>
      </c>
      <c r="C350" s="52">
        <v>40</v>
      </c>
      <c r="D350" s="52">
        <v>46</v>
      </c>
      <c r="E350" s="52">
        <v>52</v>
      </c>
      <c r="F350" s="52">
        <v>54</v>
      </c>
      <c r="G350" s="52">
        <v>61</v>
      </c>
      <c r="H350" s="52"/>
      <c r="I350" s="52">
        <v>66</v>
      </c>
      <c r="J350" s="52">
        <v>68</v>
      </c>
      <c r="K350" s="52">
        <v>67</v>
      </c>
      <c r="L350" s="52">
        <v>61</v>
      </c>
      <c r="M350" s="52">
        <v>51</v>
      </c>
      <c r="N350" s="52">
        <v>35</v>
      </c>
      <c r="O350" s="52">
        <v>31</v>
      </c>
    </row>
    <row r="351" spans="2:15" x14ac:dyDescent="0.35">
      <c r="B351" s="52" t="s">
        <v>322</v>
      </c>
      <c r="C351" s="52">
        <v>67</v>
      </c>
      <c r="D351" s="52">
        <v>65</v>
      </c>
      <c r="E351" s="52">
        <v>65</v>
      </c>
      <c r="F351" s="52">
        <v>68</v>
      </c>
      <c r="G351" s="52">
        <v>67</v>
      </c>
      <c r="H351" s="52"/>
      <c r="I351" s="52">
        <v>74</v>
      </c>
      <c r="J351" s="52">
        <v>79</v>
      </c>
      <c r="K351" s="52">
        <v>78</v>
      </c>
      <c r="L351" s="52">
        <v>74</v>
      </c>
      <c r="M351" s="52">
        <v>73</v>
      </c>
      <c r="N351" s="52">
        <v>67</v>
      </c>
      <c r="O351" s="52">
        <v>65</v>
      </c>
    </row>
    <row r="352" spans="2:15" x14ac:dyDescent="0.35">
      <c r="B352" s="52" t="s">
        <v>321</v>
      </c>
      <c r="C352" s="52">
        <v>48</v>
      </c>
      <c r="D352" s="52">
        <v>53</v>
      </c>
      <c r="E352" s="52">
        <v>55</v>
      </c>
      <c r="F352" s="52">
        <v>56</v>
      </c>
      <c r="G352" s="52">
        <v>57</v>
      </c>
      <c r="H352" s="52"/>
      <c r="I352" s="52">
        <v>58</v>
      </c>
      <c r="J352" s="52">
        <v>65</v>
      </c>
      <c r="K352" s="52">
        <v>61</v>
      </c>
      <c r="L352" s="52">
        <v>52</v>
      </c>
      <c r="M352" s="52">
        <v>46</v>
      </c>
      <c r="N352" s="52">
        <v>35</v>
      </c>
      <c r="O352" s="52">
        <v>39</v>
      </c>
    </row>
    <row r="353" spans="2:15" x14ac:dyDescent="0.35">
      <c r="B353" s="52" t="s">
        <v>320</v>
      </c>
      <c r="C353" s="52">
        <v>78</v>
      </c>
      <c r="D353" s="52">
        <v>82</v>
      </c>
      <c r="E353" s="52">
        <v>86</v>
      </c>
      <c r="F353" s="52">
        <v>89</v>
      </c>
      <c r="G353" s="52">
        <v>90</v>
      </c>
      <c r="H353" s="52"/>
      <c r="I353" s="52">
        <v>90</v>
      </c>
      <c r="J353" s="52">
        <v>82</v>
      </c>
      <c r="K353" s="52">
        <v>81</v>
      </c>
      <c r="L353" s="52">
        <v>83</v>
      </c>
      <c r="M353" s="52">
        <v>84</v>
      </c>
      <c r="N353" s="52">
        <v>83</v>
      </c>
      <c r="O353" s="52">
        <v>77</v>
      </c>
    </row>
    <row r="354" spans="2:15" x14ac:dyDescent="0.35">
      <c r="B354" s="52" t="s">
        <v>319</v>
      </c>
      <c r="C354" s="52">
        <v>29</v>
      </c>
      <c r="D354" s="52">
        <v>32</v>
      </c>
      <c r="E354" s="52">
        <v>39</v>
      </c>
      <c r="F354" s="52">
        <v>46</v>
      </c>
      <c r="G354" s="52">
        <v>44</v>
      </c>
      <c r="H354" s="52"/>
      <c r="I354" s="52">
        <v>48</v>
      </c>
      <c r="J354" s="52">
        <v>44</v>
      </c>
      <c r="K354" s="52">
        <v>44</v>
      </c>
      <c r="L354" s="52">
        <v>45</v>
      </c>
      <c r="M354" s="52">
        <v>46</v>
      </c>
      <c r="N354" s="52">
        <v>37</v>
      </c>
      <c r="O354" s="52">
        <v>28</v>
      </c>
    </row>
    <row r="355" spans="2:15" x14ac:dyDescent="0.35">
      <c r="B355" s="52" t="s">
        <v>318</v>
      </c>
      <c r="C355" s="52">
        <v>68</v>
      </c>
      <c r="D355" s="52">
        <v>68</v>
      </c>
      <c r="E355" s="52">
        <v>71</v>
      </c>
      <c r="F355" s="52">
        <v>70</v>
      </c>
      <c r="G355" s="52">
        <v>72</v>
      </c>
      <c r="H355" s="52"/>
      <c r="I355" s="52">
        <v>80</v>
      </c>
      <c r="J355" s="52">
        <v>80</v>
      </c>
      <c r="K355" s="52">
        <v>81</v>
      </c>
      <c r="L355" s="52">
        <v>82</v>
      </c>
      <c r="M355" s="52">
        <v>75</v>
      </c>
      <c r="N355" s="52">
        <v>67</v>
      </c>
      <c r="O355" s="52">
        <v>67</v>
      </c>
    </row>
    <row r="356" spans="2:15" x14ac:dyDescent="0.35">
      <c r="B356" s="52" t="s">
        <v>317</v>
      </c>
      <c r="C356" s="52">
        <v>43</v>
      </c>
      <c r="D356" s="52">
        <v>46</v>
      </c>
      <c r="E356" s="52">
        <v>52</v>
      </c>
      <c r="F356" s="52">
        <v>57</v>
      </c>
      <c r="G356" s="52">
        <v>58</v>
      </c>
      <c r="H356" s="52"/>
      <c r="I356" s="52">
        <v>59</v>
      </c>
      <c r="J356" s="52">
        <v>55</v>
      </c>
      <c r="K356" s="52">
        <v>51</v>
      </c>
      <c r="L356" s="52">
        <v>55</v>
      </c>
      <c r="M356" s="52">
        <v>50</v>
      </c>
      <c r="N356" s="52">
        <v>44</v>
      </c>
      <c r="O356" s="52">
        <v>41</v>
      </c>
    </row>
    <row r="357" spans="2:15" x14ac:dyDescent="0.35">
      <c r="B357" s="52" t="s">
        <v>316</v>
      </c>
      <c r="C357" s="52">
        <v>42</v>
      </c>
      <c r="D357" s="52">
        <v>48</v>
      </c>
      <c r="E357" s="52">
        <v>55</v>
      </c>
      <c r="F357" s="52">
        <v>60</v>
      </c>
      <c r="G357" s="52">
        <v>64</v>
      </c>
      <c r="H357" s="52"/>
      <c r="I357" s="52">
        <v>71</v>
      </c>
      <c r="J357" s="52">
        <v>73</v>
      </c>
      <c r="K357" s="52">
        <v>73</v>
      </c>
      <c r="L357" s="52">
        <v>69</v>
      </c>
      <c r="M357" s="52">
        <v>65</v>
      </c>
      <c r="N357" s="52">
        <v>48</v>
      </c>
      <c r="O357" s="52">
        <v>42</v>
      </c>
    </row>
    <row r="358" spans="2:15" x14ac:dyDescent="0.35">
      <c r="B358" s="52" t="s">
        <v>315</v>
      </c>
      <c r="C358" s="52">
        <v>50</v>
      </c>
      <c r="D358" s="52">
        <v>56</v>
      </c>
      <c r="E358" s="52">
        <v>58</v>
      </c>
      <c r="F358" s="52">
        <v>60</v>
      </c>
      <c r="G358" s="52">
        <v>61</v>
      </c>
      <c r="H358" s="52"/>
      <c r="I358" s="52">
        <v>62</v>
      </c>
      <c r="J358" s="52">
        <v>71</v>
      </c>
      <c r="K358" s="52">
        <v>69</v>
      </c>
      <c r="L358" s="52">
        <v>60</v>
      </c>
      <c r="M358" s="52">
        <v>54</v>
      </c>
      <c r="N358" s="52">
        <v>40</v>
      </c>
      <c r="O358" s="52">
        <v>43</v>
      </c>
    </row>
    <row r="359" spans="2:15" x14ac:dyDescent="0.35">
      <c r="B359" s="52" t="s">
        <v>314</v>
      </c>
      <c r="C359" s="52">
        <v>77</v>
      </c>
      <c r="D359" s="52">
        <v>73</v>
      </c>
      <c r="E359" s="52">
        <v>76</v>
      </c>
      <c r="F359" s="52">
        <v>82</v>
      </c>
      <c r="G359" s="52">
        <v>88</v>
      </c>
      <c r="H359" s="52"/>
      <c r="I359" s="52">
        <v>86</v>
      </c>
      <c r="J359" s="52">
        <v>75</v>
      </c>
      <c r="K359" s="52">
        <v>76</v>
      </c>
      <c r="L359" s="52">
        <v>81</v>
      </c>
      <c r="M359" s="52">
        <v>79</v>
      </c>
      <c r="N359" s="52">
        <v>75</v>
      </c>
      <c r="O359" s="52">
        <v>73</v>
      </c>
    </row>
    <row r="360" spans="2:15" x14ac:dyDescent="0.35">
      <c r="B360" s="52" t="s">
        <v>313</v>
      </c>
      <c r="C360" s="52">
        <v>50</v>
      </c>
      <c r="D360" s="52">
        <v>55</v>
      </c>
      <c r="E360" s="52">
        <v>56</v>
      </c>
      <c r="F360" s="52">
        <v>60</v>
      </c>
      <c r="G360" s="52">
        <v>62</v>
      </c>
      <c r="H360" s="52"/>
      <c r="I360" s="52">
        <v>69</v>
      </c>
      <c r="J360" s="52">
        <v>73</v>
      </c>
      <c r="K360" s="52">
        <v>72</v>
      </c>
      <c r="L360" s="52">
        <v>66</v>
      </c>
      <c r="M360" s="52">
        <v>65</v>
      </c>
      <c r="N360" s="52">
        <v>54</v>
      </c>
      <c r="O360" s="52">
        <v>50</v>
      </c>
    </row>
    <row r="361" spans="2:15" x14ac:dyDescent="0.35">
      <c r="B361" s="52" t="s">
        <v>312</v>
      </c>
      <c r="C361" s="52">
        <v>46</v>
      </c>
      <c r="D361" s="52">
        <v>51</v>
      </c>
      <c r="E361" s="52">
        <v>55</v>
      </c>
      <c r="F361" s="52">
        <v>60</v>
      </c>
      <c r="G361" s="52">
        <v>68</v>
      </c>
      <c r="H361" s="52"/>
      <c r="I361" s="52">
        <v>74</v>
      </c>
      <c r="J361" s="52">
        <v>75</v>
      </c>
      <c r="K361" s="52">
        <v>74</v>
      </c>
      <c r="L361" s="52">
        <v>68</v>
      </c>
      <c r="M361" s="52">
        <v>62</v>
      </c>
      <c r="N361" s="52">
        <v>42</v>
      </c>
      <c r="O361" s="52">
        <v>38</v>
      </c>
    </row>
    <row r="362" spans="2:15" x14ac:dyDescent="0.35">
      <c r="B362" s="52" t="s">
        <v>311</v>
      </c>
      <c r="C362" s="52">
        <v>47</v>
      </c>
      <c r="D362" s="52">
        <v>65</v>
      </c>
      <c r="E362" s="52">
        <v>77</v>
      </c>
      <c r="F362" s="52">
        <v>85</v>
      </c>
      <c r="G362" s="52">
        <v>90</v>
      </c>
      <c r="H362" s="52"/>
      <c r="I362" s="52">
        <v>95</v>
      </c>
      <c r="J362" s="52">
        <v>97</v>
      </c>
      <c r="K362" s="52">
        <v>96</v>
      </c>
      <c r="L362" s="52">
        <v>94</v>
      </c>
      <c r="M362" s="52">
        <v>88</v>
      </c>
      <c r="N362" s="52">
        <v>66</v>
      </c>
      <c r="O362" s="52">
        <v>46</v>
      </c>
    </row>
    <row r="363" spans="2:15" x14ac:dyDescent="0.35">
      <c r="B363" s="52" t="s">
        <v>310</v>
      </c>
      <c r="C363" s="52">
        <v>48</v>
      </c>
      <c r="D363" s="52">
        <v>51</v>
      </c>
      <c r="E363" s="52">
        <v>56</v>
      </c>
      <c r="F363" s="52">
        <v>61</v>
      </c>
      <c r="G363" s="52">
        <v>67</v>
      </c>
      <c r="H363" s="52"/>
      <c r="I363" s="52">
        <v>75</v>
      </c>
      <c r="J363" s="52">
        <v>73</v>
      </c>
      <c r="K363" s="52">
        <v>71</v>
      </c>
      <c r="L363" s="52">
        <v>68</v>
      </c>
      <c r="M363" s="52">
        <v>71</v>
      </c>
      <c r="N363" s="52">
        <v>59</v>
      </c>
      <c r="O363" s="52">
        <v>48</v>
      </c>
    </row>
    <row r="364" spans="2:15" x14ac:dyDescent="0.35">
      <c r="B364" s="52" t="s">
        <v>309</v>
      </c>
      <c r="C364" s="52">
        <v>61</v>
      </c>
      <c r="D364" s="52">
        <v>65</v>
      </c>
      <c r="E364" s="52">
        <v>65</v>
      </c>
      <c r="F364" s="52">
        <v>70</v>
      </c>
      <c r="G364" s="52">
        <v>73</v>
      </c>
      <c r="H364" s="52"/>
      <c r="I364" s="52">
        <v>81</v>
      </c>
      <c r="J364" s="52">
        <v>79</v>
      </c>
      <c r="K364" s="52">
        <v>77</v>
      </c>
      <c r="L364" s="52">
        <v>79</v>
      </c>
      <c r="M364" s="52">
        <v>74</v>
      </c>
      <c r="N364" s="52">
        <v>63</v>
      </c>
      <c r="O364" s="52">
        <v>61</v>
      </c>
    </row>
    <row r="365" spans="2:15" x14ac:dyDescent="0.35">
      <c r="B365" s="52" t="s">
        <v>308</v>
      </c>
      <c r="C365" s="52">
        <v>28</v>
      </c>
      <c r="D365" s="52">
        <v>39</v>
      </c>
      <c r="E365" s="52">
        <v>46</v>
      </c>
      <c r="F365" s="52">
        <v>51</v>
      </c>
      <c r="G365" s="52">
        <v>56</v>
      </c>
      <c r="H365" s="52"/>
      <c r="I365" s="52">
        <v>62</v>
      </c>
      <c r="J365" s="52">
        <v>64</v>
      </c>
      <c r="K365" s="52">
        <v>61</v>
      </c>
      <c r="L365" s="52">
        <v>54</v>
      </c>
      <c r="M365" s="52">
        <v>44</v>
      </c>
      <c r="N365" s="52">
        <v>27</v>
      </c>
      <c r="O365" s="52">
        <v>23</v>
      </c>
    </row>
    <row r="366" spans="2:15" x14ac:dyDescent="0.35">
      <c r="B366" s="52" t="s">
        <v>307</v>
      </c>
      <c r="C366" s="52">
        <v>49</v>
      </c>
      <c r="D366" s="52">
        <v>56</v>
      </c>
      <c r="E366" s="52">
        <v>66</v>
      </c>
      <c r="F366" s="52">
        <v>62</v>
      </c>
      <c r="G366" s="52">
        <v>62</v>
      </c>
      <c r="H366" s="52"/>
      <c r="I366" s="52">
        <v>65</v>
      </c>
      <c r="J366" s="52">
        <v>79</v>
      </c>
      <c r="K366" s="52">
        <v>76</v>
      </c>
      <c r="L366" s="52">
        <v>67</v>
      </c>
      <c r="M366" s="52">
        <v>61</v>
      </c>
      <c r="N366" s="52">
        <v>46</v>
      </c>
      <c r="O366" s="52">
        <v>44</v>
      </c>
    </row>
    <row r="367" spans="2:15" x14ac:dyDescent="0.35">
      <c r="B367" s="52" t="s">
        <v>306</v>
      </c>
      <c r="C367" s="52">
        <v>33</v>
      </c>
      <c r="D367" s="52">
        <v>40</v>
      </c>
      <c r="E367" s="52">
        <v>48</v>
      </c>
      <c r="F367" s="52">
        <v>56</v>
      </c>
      <c r="G367" s="52">
        <v>57</v>
      </c>
      <c r="H367" s="52"/>
      <c r="I367" s="52">
        <v>61</v>
      </c>
      <c r="J367" s="52">
        <v>61</v>
      </c>
      <c r="K367" s="52">
        <v>61</v>
      </c>
      <c r="L367" s="52">
        <v>61</v>
      </c>
      <c r="M367" s="52">
        <v>54</v>
      </c>
      <c r="N367" s="52">
        <v>36</v>
      </c>
      <c r="O367" s="52">
        <v>31</v>
      </c>
    </row>
    <row r="368" spans="2:15" x14ac:dyDescent="0.35">
      <c r="B368" s="52" t="s">
        <v>305</v>
      </c>
      <c r="C368" s="52">
        <v>49</v>
      </c>
      <c r="D368" s="52">
        <v>52</v>
      </c>
      <c r="E368" s="52">
        <v>53</v>
      </c>
      <c r="F368" s="52">
        <v>55</v>
      </c>
      <c r="G368" s="52">
        <v>61</v>
      </c>
      <c r="H368" s="52"/>
      <c r="I368" s="52">
        <v>65</v>
      </c>
      <c r="J368" s="52">
        <v>66</v>
      </c>
      <c r="K368" s="52">
        <v>63</v>
      </c>
      <c r="L368" s="52">
        <v>56</v>
      </c>
      <c r="M368" s="52">
        <v>47</v>
      </c>
      <c r="N368" s="52">
        <v>38</v>
      </c>
      <c r="O368" s="52">
        <v>40</v>
      </c>
    </row>
    <row r="369" spans="2:15" x14ac:dyDescent="0.35">
      <c r="B369" s="52" t="s">
        <v>304</v>
      </c>
      <c r="C369" s="52">
        <v>51</v>
      </c>
      <c r="D369" s="52">
        <v>56</v>
      </c>
      <c r="E369" s="52">
        <v>60</v>
      </c>
      <c r="F369" s="52">
        <v>63</v>
      </c>
      <c r="G369" s="52">
        <v>63</v>
      </c>
      <c r="H369" s="52"/>
      <c r="I369" s="52">
        <v>64</v>
      </c>
      <c r="J369" s="52">
        <v>62</v>
      </c>
      <c r="K369" s="52">
        <v>61</v>
      </c>
      <c r="L369" s="52">
        <v>62</v>
      </c>
      <c r="M369" s="52">
        <v>64</v>
      </c>
      <c r="N369" s="52">
        <v>57</v>
      </c>
      <c r="O369" s="52">
        <v>53</v>
      </c>
    </row>
    <row r="370" spans="2:15" x14ac:dyDescent="0.35">
      <c r="B370" s="52" t="s">
        <v>303</v>
      </c>
      <c r="C370" s="52">
        <v>54</v>
      </c>
      <c r="D370" s="52">
        <v>57</v>
      </c>
      <c r="E370" s="52">
        <v>63</v>
      </c>
      <c r="F370" s="52">
        <v>66</v>
      </c>
      <c r="G370" s="52">
        <v>62</v>
      </c>
      <c r="H370" s="52"/>
      <c r="I370" s="52">
        <v>62</v>
      </c>
      <c r="J370" s="52">
        <v>60</v>
      </c>
      <c r="K370" s="52">
        <v>61</v>
      </c>
      <c r="L370" s="52">
        <v>62</v>
      </c>
      <c r="M370" s="52">
        <v>66</v>
      </c>
      <c r="N370" s="52">
        <v>58</v>
      </c>
      <c r="O370" s="52">
        <v>54</v>
      </c>
    </row>
    <row r="371" spans="2:15" x14ac:dyDescent="0.35">
      <c r="B371" s="52" t="s">
        <v>302</v>
      </c>
      <c r="C371" s="52">
        <v>47</v>
      </c>
      <c r="D371" s="52">
        <v>52</v>
      </c>
      <c r="E371" s="52">
        <v>57</v>
      </c>
      <c r="F371" s="52">
        <v>57</v>
      </c>
      <c r="G371" s="52">
        <v>56</v>
      </c>
      <c r="H371" s="52"/>
      <c r="I371" s="52">
        <v>52</v>
      </c>
      <c r="J371" s="52">
        <v>40</v>
      </c>
      <c r="K371" s="52">
        <v>36</v>
      </c>
      <c r="L371" s="52">
        <v>37</v>
      </c>
      <c r="M371" s="52">
        <v>37</v>
      </c>
      <c r="N371" s="52">
        <v>40</v>
      </c>
      <c r="O371" s="52">
        <v>38</v>
      </c>
    </row>
    <row r="372" spans="2:15" x14ac:dyDescent="0.35">
      <c r="B372" s="52" t="s">
        <v>301</v>
      </c>
      <c r="C372" s="52">
        <v>49</v>
      </c>
      <c r="D372" s="52">
        <v>54</v>
      </c>
      <c r="E372" s="52">
        <v>58</v>
      </c>
      <c r="F372" s="52">
        <v>59</v>
      </c>
      <c r="G372" s="52">
        <v>60</v>
      </c>
      <c r="H372" s="52"/>
      <c r="I372" s="52">
        <v>65</v>
      </c>
      <c r="J372" s="52">
        <v>68</v>
      </c>
      <c r="K372" s="52">
        <v>67</v>
      </c>
      <c r="L372" s="52">
        <v>62</v>
      </c>
      <c r="M372" s="52">
        <v>58</v>
      </c>
      <c r="N372" s="52">
        <v>47</v>
      </c>
      <c r="O372" s="52">
        <v>44</v>
      </c>
    </row>
    <row r="373" spans="2:15" x14ac:dyDescent="0.35">
      <c r="B373" s="52" t="s">
        <v>300</v>
      </c>
      <c r="C373" s="52">
        <v>53</v>
      </c>
      <c r="D373" s="52">
        <v>56</v>
      </c>
      <c r="E373" s="52">
        <v>57</v>
      </c>
      <c r="F373" s="52">
        <v>55</v>
      </c>
      <c r="G373" s="52">
        <v>57</v>
      </c>
      <c r="H373" s="52"/>
      <c r="I373" s="52">
        <v>60</v>
      </c>
      <c r="J373" s="52">
        <v>62</v>
      </c>
      <c r="K373" s="52">
        <v>62</v>
      </c>
      <c r="L373" s="52">
        <v>59</v>
      </c>
      <c r="M373" s="52">
        <v>57</v>
      </c>
      <c r="N373" s="52">
        <v>45</v>
      </c>
      <c r="O373" s="52">
        <v>47</v>
      </c>
    </row>
    <row r="374" spans="2:15" x14ac:dyDescent="0.35">
      <c r="B374" s="52" t="s">
        <v>299</v>
      </c>
      <c r="C374" s="52">
        <v>46</v>
      </c>
      <c r="D374" s="52">
        <v>55</v>
      </c>
      <c r="E374" s="52">
        <v>61</v>
      </c>
      <c r="F374" s="52">
        <v>59</v>
      </c>
      <c r="G374" s="52">
        <v>60</v>
      </c>
      <c r="H374" s="52"/>
      <c r="I374" s="52">
        <v>64</v>
      </c>
      <c r="J374" s="52">
        <v>78</v>
      </c>
      <c r="K374" s="52">
        <v>74</v>
      </c>
      <c r="L374" s="52">
        <v>67</v>
      </c>
      <c r="M374" s="52">
        <v>60</v>
      </c>
      <c r="N374" s="52">
        <v>44</v>
      </c>
      <c r="O374" s="52">
        <v>42</v>
      </c>
    </row>
    <row r="375" spans="2:15" x14ac:dyDescent="0.35">
      <c r="B375" s="52" t="s">
        <v>298</v>
      </c>
      <c r="C375" s="52">
        <v>46</v>
      </c>
      <c r="D375" s="52">
        <v>46</v>
      </c>
      <c r="E375" s="52">
        <v>42</v>
      </c>
      <c r="F375" s="52">
        <v>37</v>
      </c>
      <c r="G375" s="52">
        <v>37</v>
      </c>
      <c r="H375" s="52"/>
      <c r="I375" s="52">
        <v>44</v>
      </c>
      <c r="J375" s="52">
        <v>41</v>
      </c>
      <c r="K375" s="52">
        <v>42</v>
      </c>
      <c r="L375" s="52">
        <v>43</v>
      </c>
      <c r="M375" s="52">
        <v>39</v>
      </c>
      <c r="N375" s="52">
        <v>33</v>
      </c>
      <c r="O375" s="52">
        <v>37</v>
      </c>
    </row>
    <row r="376" spans="2:15" x14ac:dyDescent="0.35">
      <c r="B376" s="52" t="s">
        <v>297</v>
      </c>
      <c r="C376" s="52">
        <v>65</v>
      </c>
      <c r="D376" s="52">
        <v>68</v>
      </c>
      <c r="E376" s="52">
        <v>72</v>
      </c>
      <c r="F376" s="52">
        <v>70</v>
      </c>
      <c r="G376" s="52">
        <v>72</v>
      </c>
      <c r="H376" s="52"/>
      <c r="I376" s="52">
        <v>74</v>
      </c>
      <c r="J376" s="52">
        <v>76</v>
      </c>
      <c r="K376" s="52">
        <v>77</v>
      </c>
      <c r="L376" s="52">
        <v>77</v>
      </c>
      <c r="M376" s="52">
        <v>70</v>
      </c>
      <c r="N376" s="52">
        <v>65</v>
      </c>
      <c r="O376" s="52">
        <v>63</v>
      </c>
    </row>
    <row r="377" spans="2:15" x14ac:dyDescent="0.35">
      <c r="B377" s="52" t="s">
        <v>296</v>
      </c>
      <c r="C377" s="52">
        <v>45</v>
      </c>
      <c r="D377" s="52">
        <v>50</v>
      </c>
      <c r="E377" s="52">
        <v>54</v>
      </c>
      <c r="F377" s="52">
        <v>58</v>
      </c>
      <c r="G377" s="52">
        <v>62</v>
      </c>
      <c r="H377" s="52"/>
      <c r="I377" s="52">
        <v>68</v>
      </c>
      <c r="J377" s="52">
        <v>70</v>
      </c>
      <c r="K377" s="52">
        <v>68</v>
      </c>
      <c r="L377" s="52">
        <v>66</v>
      </c>
      <c r="M377" s="52">
        <v>64</v>
      </c>
      <c r="N377" s="52">
        <v>52</v>
      </c>
      <c r="O377" s="52">
        <v>51</v>
      </c>
    </row>
    <row r="378" spans="2:15" x14ac:dyDescent="0.35">
      <c r="B378" s="52" t="s">
        <v>295</v>
      </c>
      <c r="C378" s="52">
        <v>57</v>
      </c>
      <c r="D378" s="52">
        <v>59</v>
      </c>
      <c r="E378" s="52">
        <v>59</v>
      </c>
      <c r="F378" s="52">
        <v>61</v>
      </c>
      <c r="G378" s="52">
        <v>65</v>
      </c>
      <c r="H378" s="52"/>
      <c r="I378" s="52">
        <v>70</v>
      </c>
      <c r="J378" s="52">
        <v>76</v>
      </c>
      <c r="K378" s="52">
        <v>74</v>
      </c>
      <c r="L378" s="52">
        <v>69</v>
      </c>
      <c r="M378" s="52">
        <v>63</v>
      </c>
      <c r="N378" s="52">
        <v>50</v>
      </c>
      <c r="O378" s="52">
        <v>49</v>
      </c>
    </row>
    <row r="379" spans="2:15" x14ac:dyDescent="0.35">
      <c r="B379" s="52" t="s">
        <v>294</v>
      </c>
      <c r="C379" s="52">
        <v>40</v>
      </c>
      <c r="D379" s="52">
        <v>49</v>
      </c>
      <c r="E379" s="52">
        <v>50</v>
      </c>
      <c r="F379" s="52">
        <v>54</v>
      </c>
      <c r="G379" s="52">
        <v>60</v>
      </c>
      <c r="H379" s="52"/>
      <c r="I379" s="52">
        <v>65</v>
      </c>
      <c r="J379" s="52">
        <v>66</v>
      </c>
      <c r="K379" s="52">
        <v>68</v>
      </c>
      <c r="L379" s="52">
        <v>65</v>
      </c>
      <c r="M379" s="52">
        <v>61</v>
      </c>
      <c r="N379" s="52">
        <v>41</v>
      </c>
      <c r="O379" s="52">
        <v>38</v>
      </c>
    </row>
    <row r="380" spans="2:15" x14ac:dyDescent="0.35">
      <c r="B380" s="52" t="s">
        <v>293</v>
      </c>
      <c r="C380" s="52">
        <v>49</v>
      </c>
      <c r="D380" s="52">
        <v>54</v>
      </c>
      <c r="E380" s="52">
        <v>60</v>
      </c>
      <c r="F380" s="52">
        <v>66</v>
      </c>
      <c r="G380" s="52">
        <v>63</v>
      </c>
      <c r="H380" s="52"/>
      <c r="I380" s="52">
        <v>70</v>
      </c>
      <c r="J380" s="52">
        <v>66</v>
      </c>
      <c r="K380" s="52">
        <v>67</v>
      </c>
      <c r="L380" s="52">
        <v>65</v>
      </c>
      <c r="M380" s="52">
        <v>70</v>
      </c>
      <c r="N380" s="52">
        <v>57</v>
      </c>
      <c r="O380" s="52">
        <v>49</v>
      </c>
    </row>
    <row r="381" spans="2:15" x14ac:dyDescent="0.35">
      <c r="B381" s="52" t="s">
        <v>292</v>
      </c>
      <c r="C381" s="52">
        <v>58</v>
      </c>
      <c r="D381" s="52">
        <v>62</v>
      </c>
      <c r="E381" s="52">
        <v>68</v>
      </c>
      <c r="F381" s="52">
        <v>73</v>
      </c>
      <c r="G381" s="52">
        <v>70</v>
      </c>
      <c r="H381" s="52"/>
      <c r="I381" s="52">
        <v>66</v>
      </c>
      <c r="J381" s="52">
        <v>65</v>
      </c>
      <c r="K381" s="52">
        <v>64</v>
      </c>
      <c r="L381" s="52">
        <v>58</v>
      </c>
      <c r="M381" s="52">
        <v>60</v>
      </c>
      <c r="N381" s="52">
        <v>60</v>
      </c>
      <c r="O381" s="52">
        <v>54</v>
      </c>
    </row>
    <row r="382" spans="2:15" x14ac:dyDescent="0.35">
      <c r="B382" s="52" t="s">
        <v>291</v>
      </c>
      <c r="C382" s="52">
        <v>70</v>
      </c>
      <c r="D382" s="52">
        <v>74</v>
      </c>
      <c r="E382" s="52">
        <v>74</v>
      </c>
      <c r="F382" s="52">
        <v>70</v>
      </c>
      <c r="G382" s="52">
        <v>74</v>
      </c>
      <c r="H382" s="52"/>
      <c r="I382" s="52">
        <v>78</v>
      </c>
      <c r="J382" s="52">
        <v>79</v>
      </c>
      <c r="K382" s="52">
        <v>76</v>
      </c>
      <c r="L382" s="52">
        <v>73</v>
      </c>
      <c r="M382" s="52">
        <v>65</v>
      </c>
      <c r="N382" s="52">
        <v>59</v>
      </c>
      <c r="O382" s="52">
        <v>62</v>
      </c>
    </row>
    <row r="383" spans="2:15" x14ac:dyDescent="0.35">
      <c r="B383" s="52" t="s">
        <v>290</v>
      </c>
      <c r="C383" s="52">
        <v>32</v>
      </c>
      <c r="D383" s="52">
        <v>32</v>
      </c>
      <c r="E383" s="52">
        <v>37</v>
      </c>
      <c r="F383" s="52">
        <v>39</v>
      </c>
      <c r="G383" s="52">
        <v>39</v>
      </c>
      <c r="H383" s="52"/>
      <c r="I383" s="52">
        <v>34</v>
      </c>
      <c r="J383" s="52">
        <v>31</v>
      </c>
      <c r="K383" s="52">
        <v>32</v>
      </c>
      <c r="L383" s="52">
        <v>26</v>
      </c>
      <c r="M383" s="52">
        <v>19</v>
      </c>
      <c r="N383" s="52">
        <v>23</v>
      </c>
      <c r="O383" s="52">
        <v>20</v>
      </c>
    </row>
    <row r="384" spans="2:15" x14ac:dyDescent="0.35">
      <c r="B384" s="52" t="s">
        <v>289</v>
      </c>
      <c r="C384" s="52">
        <v>64</v>
      </c>
      <c r="D384" s="52">
        <v>64</v>
      </c>
      <c r="E384" s="52">
        <v>64</v>
      </c>
      <c r="F384" s="52">
        <v>63</v>
      </c>
      <c r="G384" s="52">
        <v>68</v>
      </c>
      <c r="H384" s="52"/>
      <c r="I384" s="52">
        <v>72</v>
      </c>
      <c r="J384" s="52">
        <v>71</v>
      </c>
      <c r="K384" s="52">
        <v>71</v>
      </c>
      <c r="L384" s="52">
        <v>73</v>
      </c>
      <c r="M384" s="52">
        <v>68</v>
      </c>
      <c r="N384" s="52">
        <v>62</v>
      </c>
      <c r="O384" s="52">
        <v>63</v>
      </c>
    </row>
    <row r="385" spans="2:15" x14ac:dyDescent="0.35">
      <c r="B385" s="52" t="s">
        <v>288</v>
      </c>
      <c r="C385" s="52">
        <v>58</v>
      </c>
      <c r="D385" s="52">
        <v>55</v>
      </c>
      <c r="E385" s="52">
        <v>58</v>
      </c>
      <c r="F385" s="52">
        <v>62</v>
      </c>
      <c r="G385" s="52">
        <v>61</v>
      </c>
      <c r="H385" s="52"/>
      <c r="I385" s="52">
        <v>66</v>
      </c>
      <c r="J385" s="52">
        <v>72</v>
      </c>
      <c r="K385" s="52">
        <v>67</v>
      </c>
      <c r="L385" s="52">
        <v>66</v>
      </c>
      <c r="M385" s="52">
        <v>60</v>
      </c>
      <c r="N385" s="52">
        <v>49</v>
      </c>
      <c r="O385" s="52">
        <v>49</v>
      </c>
    </row>
    <row r="386" spans="2:15" x14ac:dyDescent="0.35">
      <c r="B386" s="52" t="s">
        <v>287</v>
      </c>
      <c r="C386" s="52">
        <v>74</v>
      </c>
      <c r="D386" s="52">
        <v>77</v>
      </c>
      <c r="E386" s="52">
        <v>82</v>
      </c>
      <c r="F386" s="52">
        <v>84</v>
      </c>
      <c r="G386" s="52">
        <v>82</v>
      </c>
      <c r="H386" s="52"/>
      <c r="I386" s="52">
        <v>76</v>
      </c>
      <c r="J386" s="52">
        <v>77</v>
      </c>
      <c r="K386" s="52">
        <v>76</v>
      </c>
      <c r="L386" s="52">
        <v>72</v>
      </c>
      <c r="M386" s="52">
        <v>71</v>
      </c>
      <c r="N386" s="52">
        <v>71</v>
      </c>
      <c r="O386" s="52">
        <v>70</v>
      </c>
    </row>
    <row r="387" spans="2:15" x14ac:dyDescent="0.35">
      <c r="B387" s="52" t="s">
        <v>286</v>
      </c>
      <c r="C387" s="52">
        <v>40</v>
      </c>
      <c r="D387" s="52">
        <v>47</v>
      </c>
      <c r="E387" s="52">
        <v>53</v>
      </c>
      <c r="F387" s="52">
        <v>63</v>
      </c>
      <c r="G387" s="52">
        <v>64</v>
      </c>
      <c r="H387" s="52"/>
      <c r="I387" s="52">
        <v>65</v>
      </c>
      <c r="J387" s="52">
        <v>64</v>
      </c>
      <c r="K387" s="52">
        <v>63</v>
      </c>
      <c r="L387" s="52">
        <v>61</v>
      </c>
      <c r="M387" s="52">
        <v>61</v>
      </c>
      <c r="N387" s="52">
        <v>49</v>
      </c>
      <c r="O387" s="52">
        <v>40</v>
      </c>
    </row>
    <row r="388" spans="2:15" x14ac:dyDescent="0.35">
      <c r="B388" s="52" t="s">
        <v>285</v>
      </c>
      <c r="C388" s="52">
        <v>54</v>
      </c>
      <c r="D388" s="52">
        <v>54</v>
      </c>
      <c r="E388" s="52">
        <v>63</v>
      </c>
      <c r="F388" s="52">
        <v>61</v>
      </c>
      <c r="G388" s="52">
        <v>54</v>
      </c>
      <c r="H388" s="52"/>
      <c r="I388" s="52">
        <v>44</v>
      </c>
      <c r="J388" s="52">
        <v>45</v>
      </c>
      <c r="K388" s="52">
        <v>44</v>
      </c>
      <c r="L388" s="52">
        <v>52</v>
      </c>
      <c r="M388" s="52">
        <v>47</v>
      </c>
      <c r="N388" s="52">
        <v>50</v>
      </c>
      <c r="O388" s="52">
        <v>49</v>
      </c>
    </row>
    <row r="389" spans="2:15" x14ac:dyDescent="0.35">
      <c r="B389" s="52" t="s">
        <v>284</v>
      </c>
      <c r="C389" s="52">
        <v>62</v>
      </c>
      <c r="D389" s="52">
        <v>66</v>
      </c>
      <c r="E389" s="52">
        <v>74</v>
      </c>
      <c r="F389" s="52">
        <v>71</v>
      </c>
      <c r="G389" s="52">
        <v>72</v>
      </c>
      <c r="H389" s="52"/>
      <c r="I389" s="52">
        <v>78</v>
      </c>
      <c r="J389" s="52">
        <v>83</v>
      </c>
      <c r="K389" s="52">
        <v>81</v>
      </c>
      <c r="L389" s="52">
        <v>78</v>
      </c>
      <c r="M389" s="52">
        <v>75</v>
      </c>
      <c r="N389" s="52">
        <v>67</v>
      </c>
      <c r="O389" s="52">
        <v>59</v>
      </c>
    </row>
    <row r="390" spans="2:15" x14ac:dyDescent="0.35">
      <c r="B390" s="52" t="s">
        <v>283</v>
      </c>
      <c r="C390" s="52">
        <v>65</v>
      </c>
      <c r="D390" s="52">
        <v>68</v>
      </c>
      <c r="E390" s="52">
        <v>70</v>
      </c>
      <c r="F390" s="52">
        <v>66</v>
      </c>
      <c r="G390" s="52">
        <v>64</v>
      </c>
      <c r="H390" s="52"/>
      <c r="I390" s="52">
        <v>72</v>
      </c>
      <c r="J390" s="52">
        <v>75</v>
      </c>
      <c r="K390" s="52">
        <v>75</v>
      </c>
      <c r="L390" s="52">
        <v>72</v>
      </c>
      <c r="M390" s="52">
        <v>67</v>
      </c>
      <c r="N390" s="52">
        <v>58</v>
      </c>
      <c r="O390" s="52">
        <v>61</v>
      </c>
    </row>
    <row r="391" spans="2:15" x14ac:dyDescent="0.35">
      <c r="B391" s="52" t="s">
        <v>282</v>
      </c>
      <c r="C391" s="52">
        <v>36</v>
      </c>
      <c r="D391" s="52">
        <v>44</v>
      </c>
      <c r="E391" s="52">
        <v>49</v>
      </c>
      <c r="F391" s="52">
        <v>52</v>
      </c>
      <c r="G391" s="52">
        <v>61</v>
      </c>
      <c r="H391" s="52"/>
      <c r="I391" s="52">
        <v>65</v>
      </c>
      <c r="J391" s="52">
        <v>69</v>
      </c>
      <c r="K391" s="52">
        <v>64</v>
      </c>
      <c r="L391" s="52">
        <v>59</v>
      </c>
      <c r="M391" s="52">
        <v>50</v>
      </c>
      <c r="N391" s="52">
        <v>31</v>
      </c>
      <c r="O391" s="52">
        <v>29</v>
      </c>
    </row>
    <row r="392" spans="2:15" x14ac:dyDescent="0.35">
      <c r="B392" s="52" t="s">
        <v>281</v>
      </c>
      <c r="C392" s="52">
        <v>77</v>
      </c>
      <c r="D392" s="52">
        <v>81</v>
      </c>
      <c r="E392" s="52">
        <v>83</v>
      </c>
      <c r="F392" s="52">
        <v>87</v>
      </c>
      <c r="G392" s="52">
        <v>88</v>
      </c>
      <c r="H392" s="52"/>
      <c r="I392" s="52">
        <v>93</v>
      </c>
      <c r="J392" s="52">
        <v>88</v>
      </c>
      <c r="K392" s="52">
        <v>88</v>
      </c>
      <c r="L392" s="52">
        <v>91</v>
      </c>
      <c r="M392" s="52">
        <v>87</v>
      </c>
      <c r="N392" s="52">
        <v>81</v>
      </c>
      <c r="O392" s="52">
        <v>78</v>
      </c>
    </row>
    <row r="393" spans="2:15" x14ac:dyDescent="0.35">
      <c r="B393" s="52" t="s">
        <v>280</v>
      </c>
      <c r="C393" s="52">
        <v>55</v>
      </c>
      <c r="D393" s="52">
        <v>57</v>
      </c>
      <c r="E393" s="52">
        <v>56</v>
      </c>
      <c r="F393" s="52">
        <v>55</v>
      </c>
      <c r="G393" s="52">
        <v>61</v>
      </c>
      <c r="H393" s="52"/>
      <c r="I393" s="52">
        <v>63</v>
      </c>
      <c r="J393" s="52">
        <v>62</v>
      </c>
      <c r="K393" s="52">
        <v>65</v>
      </c>
      <c r="L393" s="52">
        <v>67</v>
      </c>
      <c r="M393" s="52">
        <v>59</v>
      </c>
      <c r="N393" s="52">
        <v>49</v>
      </c>
      <c r="O393" s="52">
        <v>49</v>
      </c>
    </row>
    <row r="394" spans="2:15" x14ac:dyDescent="0.35">
      <c r="B394" s="52" t="s">
        <v>279</v>
      </c>
      <c r="C394" s="52">
        <v>58</v>
      </c>
      <c r="D394" s="52">
        <v>57</v>
      </c>
      <c r="E394" s="52">
        <v>57</v>
      </c>
      <c r="F394" s="52">
        <v>58</v>
      </c>
      <c r="G394" s="52">
        <v>61</v>
      </c>
      <c r="H394" s="52"/>
      <c r="I394" s="52">
        <v>69</v>
      </c>
      <c r="J394" s="52">
        <v>73</v>
      </c>
      <c r="K394" s="52">
        <v>70</v>
      </c>
      <c r="L394" s="52">
        <v>66</v>
      </c>
      <c r="M394" s="52">
        <v>63</v>
      </c>
      <c r="N394" s="52">
        <v>53</v>
      </c>
      <c r="O394" s="52">
        <v>52</v>
      </c>
    </row>
    <row r="395" spans="2:15" x14ac:dyDescent="0.35">
      <c r="B395" s="52" t="s">
        <v>278</v>
      </c>
      <c r="C395" s="52">
        <v>46</v>
      </c>
      <c r="D395" s="52">
        <v>54</v>
      </c>
      <c r="E395" s="52">
        <v>57</v>
      </c>
      <c r="F395" s="52">
        <v>62</v>
      </c>
      <c r="G395" s="52">
        <v>68</v>
      </c>
      <c r="H395" s="52"/>
      <c r="I395" s="52">
        <v>73</v>
      </c>
      <c r="J395" s="52">
        <v>71</v>
      </c>
      <c r="K395" s="52">
        <v>73</v>
      </c>
      <c r="L395" s="52">
        <v>68</v>
      </c>
      <c r="M395" s="52">
        <v>69</v>
      </c>
      <c r="N395" s="52">
        <v>56</v>
      </c>
      <c r="O395" s="52">
        <v>48</v>
      </c>
    </row>
    <row r="396" spans="2:15" x14ac:dyDescent="0.35">
      <c r="B396" s="52" t="s">
        <v>277</v>
      </c>
      <c r="C396" s="52">
        <v>69</v>
      </c>
      <c r="D396" s="52">
        <v>72</v>
      </c>
      <c r="E396" s="52">
        <v>73</v>
      </c>
      <c r="F396" s="52">
        <v>70</v>
      </c>
      <c r="G396" s="52">
        <v>66</v>
      </c>
      <c r="H396" s="52"/>
      <c r="I396" s="52">
        <v>65</v>
      </c>
      <c r="J396" s="52">
        <v>82</v>
      </c>
      <c r="K396" s="52">
        <v>83</v>
      </c>
      <c r="L396" s="52">
        <v>79</v>
      </c>
      <c r="M396" s="52">
        <v>73</v>
      </c>
      <c r="N396" s="52">
        <v>74</v>
      </c>
      <c r="O396" s="52">
        <v>71</v>
      </c>
    </row>
    <row r="397" spans="2:15" x14ac:dyDescent="0.35">
      <c r="B397" s="52" t="s">
        <v>276</v>
      </c>
      <c r="C397" s="52">
        <v>41</v>
      </c>
      <c r="D397" s="52">
        <v>48</v>
      </c>
      <c r="E397" s="52">
        <v>51</v>
      </c>
      <c r="F397" s="52">
        <v>56</v>
      </c>
      <c r="G397" s="52">
        <v>60</v>
      </c>
      <c r="H397" s="52"/>
      <c r="I397" s="52">
        <v>66</v>
      </c>
      <c r="J397" s="52">
        <v>67</v>
      </c>
      <c r="K397" s="52">
        <v>66</v>
      </c>
      <c r="L397" s="52">
        <v>64</v>
      </c>
      <c r="M397" s="52">
        <v>61</v>
      </c>
      <c r="N397" s="52">
        <v>46</v>
      </c>
      <c r="O397" s="52">
        <v>40</v>
      </c>
    </row>
    <row r="398" spans="2:15" x14ac:dyDescent="0.35">
      <c r="B398" s="52" t="s">
        <v>275</v>
      </c>
      <c r="C398" s="52">
        <v>65</v>
      </c>
      <c r="D398" s="52">
        <v>66</v>
      </c>
      <c r="E398" s="52">
        <v>73</v>
      </c>
      <c r="F398" s="52">
        <v>74</v>
      </c>
      <c r="G398" s="52">
        <v>71</v>
      </c>
      <c r="H398" s="52"/>
      <c r="I398" s="52">
        <v>76</v>
      </c>
      <c r="J398" s="52">
        <v>77</v>
      </c>
      <c r="K398" s="52">
        <v>76</v>
      </c>
      <c r="L398" s="52">
        <v>71</v>
      </c>
      <c r="M398" s="52">
        <v>75</v>
      </c>
      <c r="N398" s="52">
        <v>69</v>
      </c>
      <c r="O398" s="52">
        <v>65</v>
      </c>
    </row>
    <row r="399" spans="2:15" x14ac:dyDescent="0.35">
      <c r="B399" s="52" t="s">
        <v>274</v>
      </c>
      <c r="C399" s="52">
        <v>52</v>
      </c>
      <c r="D399" s="52">
        <v>56</v>
      </c>
      <c r="E399" s="52">
        <v>58</v>
      </c>
      <c r="F399" s="52">
        <v>62</v>
      </c>
      <c r="G399" s="52">
        <v>62</v>
      </c>
      <c r="H399" s="52"/>
      <c r="I399" s="52">
        <v>65</v>
      </c>
      <c r="J399" s="52">
        <v>62</v>
      </c>
      <c r="K399" s="52">
        <v>62</v>
      </c>
      <c r="L399" s="52">
        <v>61</v>
      </c>
      <c r="M399" s="52">
        <v>62</v>
      </c>
      <c r="N399" s="52">
        <v>56</v>
      </c>
      <c r="O399" s="52">
        <v>53</v>
      </c>
    </row>
    <row r="400" spans="2:15" x14ac:dyDescent="0.35">
      <c r="B400" s="52" t="s">
        <v>273</v>
      </c>
      <c r="C400" s="52">
        <v>56</v>
      </c>
      <c r="D400" s="52">
        <v>61</v>
      </c>
      <c r="E400" s="52">
        <v>65</v>
      </c>
      <c r="F400" s="52">
        <v>73</v>
      </c>
      <c r="G400" s="52">
        <v>71</v>
      </c>
      <c r="H400" s="52"/>
      <c r="I400" s="52">
        <v>70</v>
      </c>
      <c r="J400" s="52">
        <v>67</v>
      </c>
      <c r="K400" s="52">
        <v>71</v>
      </c>
      <c r="L400" s="52">
        <v>67</v>
      </c>
      <c r="M400" s="52">
        <v>69</v>
      </c>
      <c r="N400" s="52">
        <v>64</v>
      </c>
      <c r="O400" s="52">
        <v>57</v>
      </c>
    </row>
    <row r="401" spans="2:15" x14ac:dyDescent="0.35">
      <c r="B401" s="52" t="s">
        <v>272</v>
      </c>
      <c r="C401" s="52">
        <v>47</v>
      </c>
      <c r="D401" s="52">
        <v>51</v>
      </c>
      <c r="E401" s="52">
        <v>52</v>
      </c>
      <c r="F401" s="52">
        <v>52</v>
      </c>
      <c r="G401" s="52">
        <v>58</v>
      </c>
      <c r="H401" s="52"/>
      <c r="I401" s="52">
        <v>64</v>
      </c>
      <c r="J401" s="52">
        <v>67</v>
      </c>
      <c r="K401" s="52">
        <v>64</v>
      </c>
      <c r="L401" s="52">
        <v>60</v>
      </c>
      <c r="M401" s="52">
        <v>54</v>
      </c>
      <c r="N401" s="52">
        <v>39</v>
      </c>
      <c r="O401" s="52">
        <v>40</v>
      </c>
    </row>
    <row r="402" spans="2:15" x14ac:dyDescent="0.35">
      <c r="B402" s="52" t="s">
        <v>271</v>
      </c>
      <c r="C402" s="52">
        <v>61</v>
      </c>
      <c r="D402" s="52">
        <v>64</v>
      </c>
      <c r="E402" s="52">
        <v>66</v>
      </c>
      <c r="F402" s="52">
        <v>59</v>
      </c>
      <c r="G402" s="52">
        <v>58</v>
      </c>
      <c r="H402" s="52"/>
      <c r="I402" s="52">
        <v>55</v>
      </c>
      <c r="J402" s="52">
        <v>56</v>
      </c>
      <c r="K402" s="52">
        <v>61</v>
      </c>
      <c r="L402" s="52">
        <v>59</v>
      </c>
      <c r="M402" s="52">
        <v>55</v>
      </c>
      <c r="N402" s="52">
        <v>53</v>
      </c>
      <c r="O402" s="52">
        <v>53</v>
      </c>
    </row>
    <row r="403" spans="2:15" x14ac:dyDescent="0.35">
      <c r="B403" s="52" t="s">
        <v>270</v>
      </c>
      <c r="C403" s="52">
        <v>34</v>
      </c>
      <c r="D403" s="52">
        <v>40</v>
      </c>
      <c r="E403" s="52">
        <v>48</v>
      </c>
      <c r="F403" s="52">
        <v>50</v>
      </c>
      <c r="G403" s="52">
        <v>60</v>
      </c>
      <c r="H403" s="52"/>
      <c r="I403" s="52">
        <v>63</v>
      </c>
      <c r="J403" s="52">
        <v>65</v>
      </c>
      <c r="K403" s="52">
        <v>61</v>
      </c>
      <c r="L403" s="52">
        <v>53</v>
      </c>
      <c r="M403" s="52">
        <v>44</v>
      </c>
      <c r="N403" s="52">
        <v>34</v>
      </c>
      <c r="O403" s="52">
        <v>33</v>
      </c>
    </row>
    <row r="404" spans="2:15" x14ac:dyDescent="0.35">
      <c r="B404" s="52" t="s">
        <v>269</v>
      </c>
      <c r="C404" s="52">
        <v>50</v>
      </c>
      <c r="D404" s="52">
        <v>54</v>
      </c>
      <c r="E404" s="52">
        <v>56</v>
      </c>
      <c r="F404" s="52">
        <v>64</v>
      </c>
      <c r="G404" s="52">
        <v>69</v>
      </c>
      <c r="H404" s="52"/>
      <c r="I404" s="52">
        <v>74</v>
      </c>
      <c r="J404" s="52">
        <v>74</v>
      </c>
      <c r="K404" s="52">
        <v>75</v>
      </c>
      <c r="L404" s="52">
        <v>69</v>
      </c>
      <c r="M404" s="52">
        <v>70</v>
      </c>
      <c r="N404" s="52">
        <v>58</v>
      </c>
      <c r="O404" s="52">
        <v>50</v>
      </c>
    </row>
    <row r="405" spans="2:15" x14ac:dyDescent="0.35">
      <c r="B405" s="52" t="s">
        <v>268</v>
      </c>
      <c r="C405" s="52">
        <v>66</v>
      </c>
      <c r="D405" s="52">
        <v>68</v>
      </c>
      <c r="E405" s="52">
        <v>74</v>
      </c>
      <c r="F405" s="52">
        <v>76</v>
      </c>
      <c r="G405" s="52">
        <v>72</v>
      </c>
      <c r="H405" s="52"/>
      <c r="I405" s="52">
        <v>68</v>
      </c>
      <c r="J405" s="52">
        <v>72</v>
      </c>
      <c r="K405" s="52">
        <v>71</v>
      </c>
      <c r="L405" s="52">
        <v>70</v>
      </c>
      <c r="M405" s="52">
        <v>70</v>
      </c>
      <c r="N405" s="52">
        <v>67</v>
      </c>
      <c r="O405" s="52">
        <v>63</v>
      </c>
    </row>
    <row r="406" spans="2:15" x14ac:dyDescent="0.35">
      <c r="B406" s="52" t="s">
        <v>267</v>
      </c>
      <c r="C406" s="52">
        <v>48</v>
      </c>
      <c r="D406" s="52">
        <v>54</v>
      </c>
      <c r="E406" s="52">
        <v>57</v>
      </c>
      <c r="F406" s="52">
        <v>58</v>
      </c>
      <c r="G406" s="52">
        <v>59</v>
      </c>
      <c r="H406" s="52"/>
      <c r="I406" s="52">
        <v>64</v>
      </c>
      <c r="J406" s="52">
        <v>67</v>
      </c>
      <c r="K406" s="52">
        <v>66</v>
      </c>
      <c r="L406" s="52">
        <v>61</v>
      </c>
      <c r="M406" s="52">
        <v>58</v>
      </c>
      <c r="N406" s="52">
        <v>47</v>
      </c>
      <c r="O406" s="52">
        <v>44</v>
      </c>
    </row>
    <row r="407" spans="2:15" x14ac:dyDescent="0.35">
      <c r="B407" s="52" t="s">
        <v>266</v>
      </c>
      <c r="C407" s="52">
        <v>66</v>
      </c>
      <c r="D407" s="52">
        <v>69</v>
      </c>
      <c r="E407" s="52">
        <v>73</v>
      </c>
      <c r="F407" s="52">
        <v>78</v>
      </c>
      <c r="G407" s="52">
        <v>78</v>
      </c>
      <c r="H407" s="52"/>
      <c r="I407" s="52">
        <v>81</v>
      </c>
      <c r="J407" s="52">
        <v>81</v>
      </c>
      <c r="K407" s="52">
        <v>77</v>
      </c>
      <c r="L407" s="52">
        <v>77</v>
      </c>
      <c r="M407" s="52">
        <v>73</v>
      </c>
      <c r="N407" s="52">
        <v>74</v>
      </c>
      <c r="O407" s="52">
        <v>65</v>
      </c>
    </row>
    <row r="408" spans="2:15" x14ac:dyDescent="0.35">
      <c r="B408" s="52" t="s">
        <v>265</v>
      </c>
      <c r="C408" s="52">
        <v>58</v>
      </c>
      <c r="D408" s="52">
        <v>64</v>
      </c>
      <c r="E408" s="52">
        <v>63</v>
      </c>
      <c r="F408" s="52">
        <v>69</v>
      </c>
      <c r="G408" s="52">
        <v>73</v>
      </c>
      <c r="H408" s="52"/>
      <c r="I408" s="52">
        <v>82</v>
      </c>
      <c r="J408" s="52">
        <v>77</v>
      </c>
      <c r="K408" s="52">
        <v>79</v>
      </c>
      <c r="L408" s="52">
        <v>80</v>
      </c>
      <c r="M408" s="52">
        <v>76</v>
      </c>
      <c r="N408" s="52">
        <v>62</v>
      </c>
      <c r="O408" s="52">
        <v>60</v>
      </c>
    </row>
    <row r="409" spans="2:15" x14ac:dyDescent="0.35">
      <c r="B409" s="52" t="s">
        <v>264</v>
      </c>
      <c r="C409" s="52">
        <v>44</v>
      </c>
      <c r="D409" s="52">
        <v>47</v>
      </c>
      <c r="E409" s="52">
        <v>50</v>
      </c>
      <c r="F409" s="52">
        <v>53</v>
      </c>
      <c r="G409" s="52">
        <v>60</v>
      </c>
      <c r="H409" s="52"/>
      <c r="I409" s="52">
        <v>65</v>
      </c>
      <c r="J409" s="52">
        <v>69</v>
      </c>
      <c r="K409" s="52">
        <v>66</v>
      </c>
      <c r="L409" s="52">
        <v>59</v>
      </c>
      <c r="M409" s="52">
        <v>54</v>
      </c>
      <c r="N409" s="52">
        <v>39</v>
      </c>
      <c r="O409" s="52">
        <v>38</v>
      </c>
    </row>
    <row r="410" spans="2:15" x14ac:dyDescent="0.35">
      <c r="B410" s="52" t="s">
        <v>263</v>
      </c>
      <c r="C410" s="52">
        <v>53</v>
      </c>
      <c r="D410" s="52">
        <v>59</v>
      </c>
      <c r="E410" s="52">
        <v>57</v>
      </c>
      <c r="F410" s="52">
        <v>58</v>
      </c>
      <c r="G410" s="52">
        <v>61</v>
      </c>
      <c r="H410" s="52"/>
      <c r="I410" s="52">
        <v>66</v>
      </c>
      <c r="J410" s="52">
        <v>72</v>
      </c>
      <c r="K410" s="52">
        <v>69</v>
      </c>
      <c r="L410" s="52">
        <v>62</v>
      </c>
      <c r="M410" s="52">
        <v>55</v>
      </c>
      <c r="N410" s="52">
        <v>39</v>
      </c>
      <c r="O410" s="52">
        <v>42</v>
      </c>
    </row>
    <row r="411" spans="2:15" x14ac:dyDescent="0.35">
      <c r="B411" s="52" t="s">
        <v>262</v>
      </c>
      <c r="C411" s="52">
        <v>33</v>
      </c>
      <c r="D411" s="52">
        <v>44</v>
      </c>
      <c r="E411" s="52">
        <v>54</v>
      </c>
      <c r="F411" s="52">
        <v>57</v>
      </c>
      <c r="G411" s="52">
        <v>59</v>
      </c>
      <c r="H411" s="52"/>
      <c r="I411" s="52">
        <v>63</v>
      </c>
      <c r="J411" s="52">
        <v>81</v>
      </c>
      <c r="K411" s="52">
        <v>77</v>
      </c>
      <c r="L411" s="52">
        <v>69</v>
      </c>
      <c r="M411" s="52">
        <v>55</v>
      </c>
      <c r="N411" s="52">
        <v>34</v>
      </c>
      <c r="O411" s="52">
        <v>29</v>
      </c>
    </row>
    <row r="412" spans="2:15" x14ac:dyDescent="0.35">
      <c r="B412" s="52" t="s">
        <v>261</v>
      </c>
      <c r="C412" s="52">
        <v>48</v>
      </c>
      <c r="D412" s="52">
        <v>50</v>
      </c>
      <c r="E412" s="52">
        <v>50</v>
      </c>
      <c r="F412" s="52">
        <v>53</v>
      </c>
      <c r="G412" s="52">
        <v>57</v>
      </c>
      <c r="H412" s="52"/>
      <c r="I412" s="52">
        <v>63</v>
      </c>
      <c r="J412" s="52">
        <v>68</v>
      </c>
      <c r="K412" s="52">
        <v>66</v>
      </c>
      <c r="L412" s="52">
        <v>62</v>
      </c>
      <c r="M412" s="52">
        <v>58</v>
      </c>
      <c r="N412" s="52">
        <v>42</v>
      </c>
      <c r="O412" s="52">
        <v>40</v>
      </c>
    </row>
    <row r="413" spans="2:15" x14ac:dyDescent="0.35">
      <c r="B413" s="52" t="s">
        <v>260</v>
      </c>
      <c r="C413" s="52">
        <v>47</v>
      </c>
      <c r="D413" s="52">
        <v>52</v>
      </c>
      <c r="E413" s="52">
        <v>59</v>
      </c>
      <c r="F413" s="52">
        <v>65</v>
      </c>
      <c r="G413" s="52">
        <v>63</v>
      </c>
      <c r="H413" s="52"/>
      <c r="I413" s="52">
        <v>62</v>
      </c>
      <c r="J413" s="52">
        <v>61</v>
      </c>
      <c r="K413" s="52">
        <v>63</v>
      </c>
      <c r="L413" s="52">
        <v>62</v>
      </c>
      <c r="M413" s="52">
        <v>64</v>
      </c>
      <c r="N413" s="52">
        <v>55</v>
      </c>
      <c r="O413" s="52">
        <v>49</v>
      </c>
    </row>
    <row r="414" spans="2:15" x14ac:dyDescent="0.35">
      <c r="B414" s="52" t="s">
        <v>259</v>
      </c>
      <c r="C414" s="52">
        <v>32</v>
      </c>
      <c r="D414" s="52">
        <v>35</v>
      </c>
      <c r="E414" s="52">
        <v>34</v>
      </c>
      <c r="F414" s="52">
        <v>34</v>
      </c>
      <c r="G414" s="52">
        <v>36</v>
      </c>
      <c r="H414" s="52"/>
      <c r="I414" s="52">
        <v>32</v>
      </c>
      <c r="J414" s="52">
        <v>30</v>
      </c>
      <c r="K414" s="52">
        <v>31</v>
      </c>
      <c r="L414" s="52">
        <v>35</v>
      </c>
      <c r="M414" s="52">
        <v>38</v>
      </c>
      <c r="N414" s="52">
        <v>29</v>
      </c>
      <c r="O414" s="52">
        <v>30</v>
      </c>
    </row>
    <row r="415" spans="2:15" x14ac:dyDescent="0.35">
      <c r="B415" s="52" t="s">
        <v>258</v>
      </c>
      <c r="C415" s="52">
        <v>41</v>
      </c>
      <c r="D415" s="52">
        <v>47</v>
      </c>
      <c r="E415" s="52">
        <v>52</v>
      </c>
      <c r="F415" s="52">
        <v>59</v>
      </c>
      <c r="G415" s="52">
        <v>60</v>
      </c>
      <c r="H415" s="52"/>
      <c r="I415" s="52">
        <v>65</v>
      </c>
      <c r="J415" s="52">
        <v>63</v>
      </c>
      <c r="K415" s="52">
        <v>63</v>
      </c>
      <c r="L415" s="52">
        <v>62</v>
      </c>
      <c r="M415" s="52">
        <v>62</v>
      </c>
      <c r="N415" s="52">
        <v>50</v>
      </c>
      <c r="O415" s="52">
        <v>42</v>
      </c>
    </row>
    <row r="416" spans="2:15" x14ac:dyDescent="0.35">
      <c r="B416" s="52" t="s">
        <v>257</v>
      </c>
      <c r="C416" s="52">
        <v>46</v>
      </c>
      <c r="D416" s="52">
        <v>50</v>
      </c>
      <c r="E416" s="52">
        <v>56</v>
      </c>
      <c r="F416" s="52">
        <v>62</v>
      </c>
      <c r="G416" s="52">
        <v>62</v>
      </c>
      <c r="H416" s="52"/>
      <c r="I416" s="52">
        <v>63</v>
      </c>
      <c r="J416" s="52">
        <v>58</v>
      </c>
      <c r="K416" s="52">
        <v>61</v>
      </c>
      <c r="L416" s="52">
        <v>61</v>
      </c>
      <c r="M416" s="52">
        <v>64</v>
      </c>
      <c r="N416" s="52">
        <v>54</v>
      </c>
      <c r="O416" s="52">
        <v>48</v>
      </c>
    </row>
    <row r="417" spans="2:15" x14ac:dyDescent="0.35">
      <c r="B417" s="52" t="s">
        <v>256</v>
      </c>
      <c r="C417" s="52">
        <v>51</v>
      </c>
      <c r="D417" s="52">
        <v>55</v>
      </c>
      <c r="E417" s="52">
        <v>57</v>
      </c>
      <c r="F417" s="52">
        <v>58</v>
      </c>
      <c r="G417" s="52">
        <v>61</v>
      </c>
      <c r="H417" s="52"/>
      <c r="I417" s="52">
        <v>64</v>
      </c>
      <c r="J417" s="52">
        <v>65</v>
      </c>
      <c r="K417" s="52">
        <v>64</v>
      </c>
      <c r="L417" s="52">
        <v>62</v>
      </c>
      <c r="M417" s="52">
        <v>61</v>
      </c>
      <c r="N417" s="52">
        <v>52</v>
      </c>
      <c r="O417" s="52">
        <v>49</v>
      </c>
    </row>
    <row r="418" spans="2:15" x14ac:dyDescent="0.35">
      <c r="B418" s="52" t="s">
        <v>255</v>
      </c>
      <c r="C418" s="52">
        <v>40</v>
      </c>
      <c r="D418" s="52">
        <v>55</v>
      </c>
      <c r="E418" s="52">
        <v>54</v>
      </c>
      <c r="F418" s="52">
        <v>54</v>
      </c>
      <c r="G418" s="52">
        <v>50</v>
      </c>
      <c r="H418" s="52"/>
      <c r="I418" s="52">
        <v>43</v>
      </c>
      <c r="J418" s="52">
        <v>37</v>
      </c>
      <c r="K418" s="52">
        <v>32</v>
      </c>
      <c r="L418" s="52">
        <v>36</v>
      </c>
      <c r="M418" s="52">
        <v>34</v>
      </c>
      <c r="N418" s="52">
        <v>31</v>
      </c>
      <c r="O418" s="52">
        <v>34</v>
      </c>
    </row>
    <row r="419" spans="2:15" x14ac:dyDescent="0.35">
      <c r="B419" s="52" t="s">
        <v>254</v>
      </c>
      <c r="C419" s="52">
        <v>53</v>
      </c>
      <c r="D419" s="52">
        <v>56</v>
      </c>
      <c r="E419" s="52">
        <v>60</v>
      </c>
      <c r="F419" s="52">
        <v>63</v>
      </c>
      <c r="G419" s="52">
        <v>62</v>
      </c>
      <c r="H419" s="52"/>
      <c r="I419" s="52">
        <v>67</v>
      </c>
      <c r="J419" s="52">
        <v>62</v>
      </c>
      <c r="K419" s="52">
        <v>62</v>
      </c>
      <c r="L419" s="52">
        <v>61</v>
      </c>
      <c r="M419" s="52">
        <v>59</v>
      </c>
      <c r="N419" s="52">
        <v>56</v>
      </c>
      <c r="O419" s="52">
        <v>54</v>
      </c>
    </row>
    <row r="420" spans="2:15" x14ac:dyDescent="0.35">
      <c r="B420" s="52" t="s">
        <v>253</v>
      </c>
      <c r="C420" s="52">
        <v>61</v>
      </c>
      <c r="D420" s="52">
        <v>62</v>
      </c>
      <c r="E420" s="52">
        <v>72</v>
      </c>
      <c r="F420" s="52">
        <v>77</v>
      </c>
      <c r="G420" s="52">
        <v>74</v>
      </c>
      <c r="H420" s="52"/>
      <c r="I420" s="52">
        <v>81</v>
      </c>
      <c r="J420" s="52">
        <v>82</v>
      </c>
      <c r="K420" s="52">
        <v>79</v>
      </c>
      <c r="L420" s="52">
        <v>81</v>
      </c>
      <c r="M420" s="52">
        <v>75</v>
      </c>
      <c r="N420" s="52">
        <v>62</v>
      </c>
      <c r="O420" s="52">
        <v>57</v>
      </c>
    </row>
    <row r="421" spans="2:15" x14ac:dyDescent="0.35">
      <c r="B421" s="52" t="s">
        <v>252</v>
      </c>
      <c r="C421" s="52">
        <v>63</v>
      </c>
      <c r="D421" s="52">
        <v>62</v>
      </c>
      <c r="E421" s="52">
        <v>62</v>
      </c>
      <c r="F421" s="52">
        <v>64</v>
      </c>
      <c r="G421" s="52">
        <v>65</v>
      </c>
      <c r="H421" s="52"/>
      <c r="I421" s="52">
        <v>71</v>
      </c>
      <c r="J421" s="52">
        <v>77</v>
      </c>
      <c r="K421" s="52">
        <v>75</v>
      </c>
      <c r="L421" s="52">
        <v>72</v>
      </c>
      <c r="M421" s="52">
        <v>70</v>
      </c>
      <c r="N421" s="52">
        <v>60</v>
      </c>
      <c r="O421" s="52">
        <v>61</v>
      </c>
    </row>
    <row r="422" spans="2:15" x14ac:dyDescent="0.35">
      <c r="B422" s="52" t="s">
        <v>251</v>
      </c>
      <c r="C422" s="52">
        <v>60</v>
      </c>
      <c r="D422" s="52">
        <v>60</v>
      </c>
      <c r="E422" s="52">
        <v>65</v>
      </c>
      <c r="F422" s="52">
        <v>68</v>
      </c>
      <c r="G422" s="52">
        <v>66</v>
      </c>
      <c r="H422" s="52"/>
      <c r="I422" s="52">
        <v>75</v>
      </c>
      <c r="J422" s="52">
        <v>79</v>
      </c>
      <c r="K422" s="52">
        <v>79</v>
      </c>
      <c r="L422" s="52">
        <v>72</v>
      </c>
      <c r="M422" s="52">
        <v>70</v>
      </c>
      <c r="N422" s="52">
        <v>61</v>
      </c>
      <c r="O422" s="52">
        <v>58</v>
      </c>
    </row>
    <row r="423" spans="2:15" x14ac:dyDescent="0.35">
      <c r="B423" s="52" t="s">
        <v>250</v>
      </c>
      <c r="C423" s="52">
        <v>55</v>
      </c>
      <c r="D423" s="52">
        <v>53</v>
      </c>
      <c r="E423" s="52">
        <v>54</v>
      </c>
      <c r="F423" s="52">
        <v>58</v>
      </c>
      <c r="G423" s="52">
        <v>61</v>
      </c>
      <c r="H423" s="52"/>
      <c r="I423" s="52">
        <v>67</v>
      </c>
      <c r="J423" s="52">
        <v>74</v>
      </c>
      <c r="K423" s="52">
        <v>70</v>
      </c>
      <c r="L423" s="52">
        <v>68</v>
      </c>
      <c r="M423" s="52">
        <v>65</v>
      </c>
      <c r="N423" s="52">
        <v>51</v>
      </c>
      <c r="O423" s="52">
        <v>48</v>
      </c>
    </row>
    <row r="424" spans="2:15" x14ac:dyDescent="0.35">
      <c r="B424" s="52" t="s">
        <v>249</v>
      </c>
      <c r="C424" s="52">
        <v>44</v>
      </c>
      <c r="D424" s="52">
        <v>47</v>
      </c>
      <c r="E424" s="52">
        <v>54</v>
      </c>
      <c r="F424" s="52">
        <v>61</v>
      </c>
      <c r="G424" s="52">
        <v>64</v>
      </c>
      <c r="H424" s="52"/>
      <c r="I424" s="52">
        <v>60</v>
      </c>
      <c r="J424" s="52">
        <v>70</v>
      </c>
      <c r="K424" s="52">
        <v>71</v>
      </c>
      <c r="L424" s="52">
        <v>63</v>
      </c>
      <c r="M424" s="52">
        <v>65</v>
      </c>
      <c r="N424" s="52">
        <v>50</v>
      </c>
      <c r="O424" s="52">
        <v>42</v>
      </c>
    </row>
    <row r="425" spans="2:15" x14ac:dyDescent="0.35">
      <c r="B425" s="52" t="s">
        <v>248</v>
      </c>
      <c r="C425" s="52">
        <v>44</v>
      </c>
      <c r="D425" s="52">
        <v>45</v>
      </c>
      <c r="E425" s="52">
        <v>45</v>
      </c>
      <c r="F425" s="52">
        <v>39</v>
      </c>
      <c r="G425" s="52">
        <v>34</v>
      </c>
      <c r="H425" s="52"/>
      <c r="I425" s="52">
        <v>34</v>
      </c>
      <c r="J425" s="52">
        <v>40</v>
      </c>
      <c r="K425" s="52">
        <v>43</v>
      </c>
      <c r="L425" s="52">
        <v>51</v>
      </c>
      <c r="M425" s="52">
        <v>42</v>
      </c>
      <c r="N425" s="52">
        <v>46</v>
      </c>
      <c r="O425" s="52">
        <v>44</v>
      </c>
    </row>
    <row r="426" spans="2:15" x14ac:dyDescent="0.35">
      <c r="B426" s="52" t="s">
        <v>247</v>
      </c>
      <c r="C426" s="52">
        <v>48</v>
      </c>
      <c r="D426" s="52">
        <v>53</v>
      </c>
      <c r="E426" s="52">
        <v>61</v>
      </c>
      <c r="F426" s="52">
        <v>63</v>
      </c>
      <c r="G426" s="52">
        <v>67</v>
      </c>
      <c r="H426" s="52"/>
      <c r="I426" s="52">
        <v>67</v>
      </c>
      <c r="J426" s="52">
        <v>57</v>
      </c>
      <c r="K426" s="52">
        <v>58</v>
      </c>
      <c r="L426" s="52">
        <v>60</v>
      </c>
      <c r="M426" s="52">
        <v>71</v>
      </c>
      <c r="N426" s="52">
        <v>64</v>
      </c>
      <c r="O426" s="52">
        <v>49</v>
      </c>
    </row>
    <row r="427" spans="2:15" x14ac:dyDescent="0.35">
      <c r="B427" s="52" t="s">
        <v>246</v>
      </c>
      <c r="C427" s="52">
        <v>47</v>
      </c>
      <c r="D427" s="52">
        <v>50</v>
      </c>
      <c r="E427" s="52">
        <v>51</v>
      </c>
      <c r="F427" s="52">
        <v>55</v>
      </c>
      <c r="G427" s="52">
        <v>60</v>
      </c>
      <c r="H427" s="52"/>
      <c r="I427" s="52">
        <v>67</v>
      </c>
      <c r="J427" s="52">
        <v>69</v>
      </c>
      <c r="K427" s="52">
        <v>67</v>
      </c>
      <c r="L427" s="52">
        <v>64</v>
      </c>
      <c r="M427" s="52">
        <v>61</v>
      </c>
      <c r="N427" s="52">
        <v>43</v>
      </c>
      <c r="O427" s="52">
        <v>42</v>
      </c>
    </row>
    <row r="428" spans="2:15" x14ac:dyDescent="0.35">
      <c r="B428" s="52" t="s">
        <v>245</v>
      </c>
      <c r="C428" s="52">
        <v>49</v>
      </c>
      <c r="D428" s="52">
        <v>53</v>
      </c>
      <c r="E428" s="52">
        <v>55</v>
      </c>
      <c r="F428" s="52">
        <v>56</v>
      </c>
      <c r="G428" s="52">
        <v>57</v>
      </c>
      <c r="H428" s="52"/>
      <c r="I428" s="52">
        <v>62</v>
      </c>
      <c r="J428" s="52">
        <v>61</v>
      </c>
      <c r="K428" s="52">
        <v>62</v>
      </c>
      <c r="L428" s="52">
        <v>59</v>
      </c>
      <c r="M428" s="52">
        <v>60</v>
      </c>
      <c r="N428" s="52">
        <v>52</v>
      </c>
      <c r="O428" s="52">
        <v>49</v>
      </c>
    </row>
    <row r="429" spans="2:15" x14ac:dyDescent="0.35">
      <c r="B429" s="52" t="s">
        <v>244</v>
      </c>
      <c r="C429" s="52">
        <v>78</v>
      </c>
      <c r="D429" s="52">
        <v>80</v>
      </c>
      <c r="E429" s="52">
        <v>84</v>
      </c>
      <c r="F429" s="52">
        <v>89</v>
      </c>
      <c r="G429" s="52">
        <v>93</v>
      </c>
      <c r="H429" s="52"/>
      <c r="I429" s="52">
        <v>94</v>
      </c>
      <c r="J429" s="52">
        <v>85</v>
      </c>
      <c r="K429" s="52">
        <v>85</v>
      </c>
      <c r="L429" s="52">
        <v>89</v>
      </c>
      <c r="M429" s="52">
        <v>88</v>
      </c>
      <c r="N429" s="52">
        <v>83</v>
      </c>
      <c r="O429" s="52">
        <v>77</v>
      </c>
    </row>
    <row r="430" spans="2:15" x14ac:dyDescent="0.35">
      <c r="B430" s="52" t="s">
        <v>243</v>
      </c>
      <c r="C430" s="52">
        <v>32</v>
      </c>
      <c r="D430" s="52">
        <v>36</v>
      </c>
      <c r="E430" s="52">
        <v>43</v>
      </c>
      <c r="F430" s="52">
        <v>46</v>
      </c>
      <c r="G430" s="52">
        <v>50</v>
      </c>
      <c r="H430" s="52"/>
      <c r="I430" s="52">
        <v>55</v>
      </c>
      <c r="J430" s="52">
        <v>57</v>
      </c>
      <c r="K430" s="52">
        <v>56</v>
      </c>
      <c r="L430" s="52">
        <v>55</v>
      </c>
      <c r="M430" s="52">
        <v>51</v>
      </c>
      <c r="N430" s="52">
        <v>36</v>
      </c>
      <c r="O430" s="52">
        <v>28</v>
      </c>
    </row>
    <row r="431" spans="2:15" x14ac:dyDescent="0.35">
      <c r="B431" s="52" t="s">
        <v>242</v>
      </c>
      <c r="C431" s="52">
        <v>40</v>
      </c>
      <c r="D431" s="52">
        <v>53</v>
      </c>
      <c r="E431" s="52">
        <v>61</v>
      </c>
      <c r="F431" s="52">
        <v>66</v>
      </c>
      <c r="G431" s="52">
        <v>67</v>
      </c>
      <c r="H431" s="52"/>
      <c r="I431" s="52">
        <v>75</v>
      </c>
      <c r="J431" s="52">
        <v>83</v>
      </c>
      <c r="K431" s="52">
        <v>81</v>
      </c>
      <c r="L431" s="52">
        <v>80</v>
      </c>
      <c r="M431" s="52">
        <v>72</v>
      </c>
      <c r="N431" s="52">
        <v>47</v>
      </c>
      <c r="O431" s="52">
        <v>40</v>
      </c>
    </row>
    <row r="432" spans="2:15" x14ac:dyDescent="0.35">
      <c r="B432" s="52" t="s">
        <v>241</v>
      </c>
      <c r="C432" s="52">
        <v>38</v>
      </c>
      <c r="D432" s="52">
        <v>41</v>
      </c>
      <c r="E432" s="52">
        <v>45</v>
      </c>
      <c r="F432" s="52">
        <v>42</v>
      </c>
      <c r="G432" s="52">
        <v>41</v>
      </c>
      <c r="H432" s="52"/>
      <c r="I432" s="52">
        <v>40</v>
      </c>
      <c r="J432" s="52">
        <v>44</v>
      </c>
      <c r="K432" s="52">
        <v>44</v>
      </c>
      <c r="L432" s="52">
        <v>44</v>
      </c>
      <c r="M432" s="52">
        <v>40</v>
      </c>
      <c r="N432" s="52">
        <v>39</v>
      </c>
      <c r="O432" s="52">
        <v>36</v>
      </c>
    </row>
    <row r="433" spans="2:15" x14ac:dyDescent="0.35">
      <c r="B433" s="52" t="s">
        <v>240</v>
      </c>
      <c r="C433" s="52">
        <v>42</v>
      </c>
      <c r="D433" s="52">
        <v>52</v>
      </c>
      <c r="E433" s="52">
        <v>52</v>
      </c>
      <c r="F433" s="52">
        <v>52</v>
      </c>
      <c r="G433" s="52">
        <v>64</v>
      </c>
      <c r="H433" s="52"/>
      <c r="I433" s="52">
        <v>69</v>
      </c>
      <c r="J433" s="52">
        <v>65</v>
      </c>
      <c r="K433" s="52">
        <v>63</v>
      </c>
      <c r="L433" s="52">
        <v>62</v>
      </c>
      <c r="M433" s="52">
        <v>67</v>
      </c>
      <c r="N433" s="52">
        <v>57</v>
      </c>
      <c r="O433" s="52">
        <v>47</v>
      </c>
    </row>
    <row r="434" spans="2:15" x14ac:dyDescent="0.35">
      <c r="B434" s="52" t="s">
        <v>239</v>
      </c>
      <c r="C434" s="52">
        <v>56</v>
      </c>
      <c r="D434" s="52">
        <v>59</v>
      </c>
      <c r="E434" s="52">
        <v>56</v>
      </c>
      <c r="F434" s="52">
        <v>54</v>
      </c>
      <c r="G434" s="52">
        <v>54</v>
      </c>
      <c r="H434" s="52"/>
      <c r="I434" s="52">
        <v>59</v>
      </c>
      <c r="J434" s="52">
        <v>63</v>
      </c>
      <c r="K434" s="52">
        <v>63</v>
      </c>
      <c r="L434" s="52">
        <v>62</v>
      </c>
      <c r="M434" s="52">
        <v>58</v>
      </c>
      <c r="N434" s="52">
        <v>48</v>
      </c>
      <c r="O434" s="52">
        <v>53</v>
      </c>
    </row>
    <row r="435" spans="2:15" x14ac:dyDescent="0.35">
      <c r="B435" s="52" t="s">
        <v>238</v>
      </c>
      <c r="C435" s="52">
        <v>28</v>
      </c>
      <c r="D435" s="52">
        <v>38</v>
      </c>
      <c r="E435" s="52">
        <v>48</v>
      </c>
      <c r="F435" s="52">
        <v>52</v>
      </c>
      <c r="G435" s="52">
        <v>57</v>
      </c>
      <c r="H435" s="52"/>
      <c r="I435" s="52">
        <v>56</v>
      </c>
      <c r="J435" s="52">
        <v>69</v>
      </c>
      <c r="K435" s="52">
        <v>66</v>
      </c>
      <c r="L435" s="52">
        <v>62</v>
      </c>
      <c r="M435" s="52">
        <v>44</v>
      </c>
      <c r="N435" s="52">
        <v>28</v>
      </c>
      <c r="O435" s="52">
        <v>23</v>
      </c>
    </row>
    <row r="436" spans="2:15" x14ac:dyDescent="0.35">
      <c r="B436" s="52" t="s">
        <v>237</v>
      </c>
      <c r="C436" s="52">
        <v>56</v>
      </c>
      <c r="D436" s="52">
        <v>58</v>
      </c>
      <c r="E436" s="52">
        <v>58</v>
      </c>
      <c r="F436" s="52">
        <v>57</v>
      </c>
      <c r="G436" s="52">
        <v>58</v>
      </c>
      <c r="H436" s="52"/>
      <c r="I436" s="52">
        <v>61</v>
      </c>
      <c r="J436" s="52">
        <v>63</v>
      </c>
      <c r="K436" s="52">
        <v>62</v>
      </c>
      <c r="L436" s="52">
        <v>62</v>
      </c>
      <c r="M436" s="52">
        <v>61</v>
      </c>
      <c r="N436" s="52">
        <v>50</v>
      </c>
      <c r="O436" s="52">
        <v>52</v>
      </c>
    </row>
    <row r="437" spans="2:15" x14ac:dyDescent="0.35">
      <c r="B437" s="52" t="s">
        <v>236</v>
      </c>
      <c r="C437" s="52">
        <v>75</v>
      </c>
      <c r="D437" s="52">
        <v>74</v>
      </c>
      <c r="E437" s="52">
        <v>74</v>
      </c>
      <c r="F437" s="52">
        <v>74</v>
      </c>
      <c r="G437" s="52">
        <v>73</v>
      </c>
      <c r="H437" s="52"/>
      <c r="I437" s="52">
        <v>78</v>
      </c>
      <c r="J437" s="52">
        <v>79</v>
      </c>
      <c r="K437" s="52">
        <v>78</v>
      </c>
      <c r="L437" s="52">
        <v>80</v>
      </c>
      <c r="M437" s="52">
        <v>79</v>
      </c>
      <c r="N437" s="52">
        <v>72</v>
      </c>
      <c r="O437" s="52">
        <v>71</v>
      </c>
    </row>
    <row r="438" spans="2:15" x14ac:dyDescent="0.35">
      <c r="B438" s="52" t="s">
        <v>235</v>
      </c>
      <c r="C438" s="52">
        <v>22</v>
      </c>
      <c r="D438" s="52">
        <v>30</v>
      </c>
      <c r="E438" s="52">
        <v>34</v>
      </c>
      <c r="F438" s="52">
        <v>35</v>
      </c>
      <c r="G438" s="52">
        <v>37</v>
      </c>
      <c r="H438" s="52"/>
      <c r="I438" s="52">
        <v>35</v>
      </c>
      <c r="J438" s="52">
        <v>43</v>
      </c>
      <c r="K438" s="52">
        <v>44</v>
      </c>
      <c r="L438" s="52">
        <v>47</v>
      </c>
      <c r="M438" s="52">
        <v>34</v>
      </c>
      <c r="N438" s="52">
        <v>21</v>
      </c>
      <c r="O438" s="52">
        <v>19</v>
      </c>
    </row>
    <row r="439" spans="2:15" x14ac:dyDescent="0.35">
      <c r="B439" s="52" t="s">
        <v>234</v>
      </c>
      <c r="C439" s="52">
        <v>52</v>
      </c>
      <c r="D439" s="52">
        <v>56</v>
      </c>
      <c r="E439" s="52">
        <v>60</v>
      </c>
      <c r="F439" s="52">
        <v>63</v>
      </c>
      <c r="G439" s="52">
        <v>59</v>
      </c>
      <c r="H439" s="52"/>
      <c r="I439" s="52">
        <v>60</v>
      </c>
      <c r="J439" s="52">
        <v>60</v>
      </c>
      <c r="K439" s="52">
        <v>58</v>
      </c>
      <c r="L439" s="52">
        <v>58</v>
      </c>
      <c r="M439" s="52">
        <v>60</v>
      </c>
      <c r="N439" s="52">
        <v>57</v>
      </c>
      <c r="O439" s="52">
        <v>53</v>
      </c>
    </row>
    <row r="440" spans="2:15" x14ac:dyDescent="0.35">
      <c r="B440" s="52" t="s">
        <v>233</v>
      </c>
      <c r="C440" s="52">
        <v>57</v>
      </c>
      <c r="D440" s="52">
        <v>60</v>
      </c>
      <c r="E440" s="52">
        <v>63</v>
      </c>
      <c r="F440" s="52">
        <v>62</v>
      </c>
      <c r="G440" s="52">
        <v>60</v>
      </c>
      <c r="H440" s="52"/>
      <c r="I440" s="52">
        <v>65</v>
      </c>
      <c r="J440" s="52">
        <v>73</v>
      </c>
      <c r="K440" s="52">
        <v>74</v>
      </c>
      <c r="L440" s="52">
        <v>70</v>
      </c>
      <c r="M440" s="52">
        <v>66</v>
      </c>
      <c r="N440" s="52">
        <v>55</v>
      </c>
      <c r="O440" s="52">
        <v>55</v>
      </c>
    </row>
    <row r="441" spans="2:15" x14ac:dyDescent="0.35">
      <c r="B441" s="52" t="s">
        <v>232</v>
      </c>
      <c r="C441" s="52">
        <v>72</v>
      </c>
      <c r="D441" s="52">
        <v>82</v>
      </c>
      <c r="E441" s="52">
        <v>85</v>
      </c>
      <c r="F441" s="52">
        <v>90</v>
      </c>
      <c r="G441" s="52">
        <v>91</v>
      </c>
      <c r="H441" s="52"/>
      <c r="I441" s="52">
        <v>94</v>
      </c>
      <c r="J441" s="52">
        <v>97</v>
      </c>
      <c r="K441" s="52">
        <v>97</v>
      </c>
      <c r="L441" s="52">
        <v>94</v>
      </c>
      <c r="M441" s="52">
        <v>92</v>
      </c>
      <c r="N441" s="52">
        <v>84</v>
      </c>
      <c r="O441" s="52">
        <v>73</v>
      </c>
    </row>
    <row r="442" spans="2:15" x14ac:dyDescent="0.35">
      <c r="B442" s="52" t="s">
        <v>231</v>
      </c>
      <c r="C442" s="52">
        <v>65</v>
      </c>
      <c r="D442" s="52">
        <v>68</v>
      </c>
      <c r="E442" s="52">
        <v>75</v>
      </c>
      <c r="F442" s="52">
        <v>80</v>
      </c>
      <c r="G442" s="52">
        <v>81</v>
      </c>
      <c r="H442" s="52"/>
      <c r="I442" s="52">
        <v>85</v>
      </c>
      <c r="J442" s="52">
        <v>92</v>
      </c>
      <c r="K442" s="52">
        <v>92</v>
      </c>
      <c r="L442" s="52">
        <v>91</v>
      </c>
      <c r="M442" s="52">
        <v>83</v>
      </c>
      <c r="N442" s="52">
        <v>70</v>
      </c>
      <c r="O442" s="52">
        <v>64</v>
      </c>
    </row>
    <row r="443" spans="2:15" x14ac:dyDescent="0.35">
      <c r="B443" s="52" t="s">
        <v>230</v>
      </c>
      <c r="C443" s="52">
        <v>54</v>
      </c>
      <c r="D443" s="52">
        <v>58</v>
      </c>
      <c r="E443" s="52">
        <v>62</v>
      </c>
      <c r="F443" s="52">
        <v>66</v>
      </c>
      <c r="G443" s="52">
        <v>66</v>
      </c>
      <c r="H443" s="52"/>
      <c r="I443" s="52">
        <v>70</v>
      </c>
      <c r="J443" s="52">
        <v>68</v>
      </c>
      <c r="K443" s="52">
        <v>66</v>
      </c>
      <c r="L443" s="52">
        <v>65</v>
      </c>
      <c r="M443" s="52">
        <v>63</v>
      </c>
      <c r="N443" s="52">
        <v>59</v>
      </c>
      <c r="O443" s="52">
        <v>54</v>
      </c>
    </row>
    <row r="444" spans="2:15" x14ac:dyDescent="0.35">
      <c r="B444" s="52" t="s">
        <v>229</v>
      </c>
      <c r="C444" s="52">
        <v>35</v>
      </c>
      <c r="D444" s="52">
        <v>41</v>
      </c>
      <c r="E444" s="52">
        <v>49</v>
      </c>
      <c r="F444" s="52">
        <v>53</v>
      </c>
      <c r="G444" s="52">
        <v>59</v>
      </c>
      <c r="H444" s="52"/>
      <c r="I444" s="52">
        <v>66</v>
      </c>
      <c r="J444" s="52">
        <v>69</v>
      </c>
      <c r="K444" s="52">
        <v>66</v>
      </c>
      <c r="L444" s="52">
        <v>59</v>
      </c>
      <c r="M444" s="52">
        <v>49</v>
      </c>
      <c r="N444" s="52">
        <v>31</v>
      </c>
      <c r="O444" s="52">
        <v>30</v>
      </c>
    </row>
    <row r="445" spans="2:15" x14ac:dyDescent="0.35">
      <c r="B445" s="52" t="s">
        <v>228</v>
      </c>
      <c r="C445" s="52">
        <v>60</v>
      </c>
      <c r="D445" s="52">
        <v>68</v>
      </c>
      <c r="E445" s="52">
        <v>75</v>
      </c>
      <c r="F445" s="52">
        <v>77</v>
      </c>
      <c r="G445" s="52">
        <v>80</v>
      </c>
      <c r="H445" s="52"/>
      <c r="I445" s="52">
        <v>83</v>
      </c>
      <c r="J445" s="52">
        <v>77</v>
      </c>
      <c r="K445" s="52">
        <v>73</v>
      </c>
      <c r="L445" s="52">
        <v>72</v>
      </c>
      <c r="M445" s="52">
        <v>77</v>
      </c>
      <c r="N445" s="52">
        <v>73</v>
      </c>
      <c r="O445" s="52">
        <v>71</v>
      </c>
    </row>
    <row r="446" spans="2:15" x14ac:dyDescent="0.35">
      <c r="B446" s="52" t="s">
        <v>227</v>
      </c>
      <c r="C446" s="52">
        <v>48</v>
      </c>
      <c r="D446" s="52">
        <v>65</v>
      </c>
      <c r="E446" s="52">
        <v>74</v>
      </c>
      <c r="F446" s="52">
        <v>82</v>
      </c>
      <c r="G446" s="52">
        <v>90</v>
      </c>
      <c r="H446" s="52"/>
      <c r="I446" s="52">
        <v>94</v>
      </c>
      <c r="J446" s="52">
        <v>97</v>
      </c>
      <c r="K446" s="52">
        <v>96</v>
      </c>
      <c r="L446" s="52">
        <v>93</v>
      </c>
      <c r="M446" s="52">
        <v>86</v>
      </c>
      <c r="N446" s="52">
        <v>66</v>
      </c>
      <c r="O446" s="52">
        <v>49</v>
      </c>
    </row>
    <row r="447" spans="2:15" x14ac:dyDescent="0.35">
      <c r="B447" s="52" t="s">
        <v>226</v>
      </c>
      <c r="C447" s="52">
        <v>45</v>
      </c>
      <c r="D447" s="52">
        <v>54</v>
      </c>
      <c r="E447" s="52">
        <v>64</v>
      </c>
      <c r="F447" s="52">
        <v>68</v>
      </c>
      <c r="G447" s="52">
        <v>72</v>
      </c>
      <c r="H447" s="52"/>
      <c r="I447" s="52">
        <v>80</v>
      </c>
      <c r="J447" s="52">
        <v>83</v>
      </c>
      <c r="K447" s="52">
        <v>82</v>
      </c>
      <c r="L447" s="52">
        <v>82</v>
      </c>
      <c r="M447" s="52">
        <v>72</v>
      </c>
      <c r="N447" s="52">
        <v>53</v>
      </c>
      <c r="O447" s="52">
        <v>42</v>
      </c>
    </row>
    <row r="448" spans="2:15" x14ac:dyDescent="0.35">
      <c r="B448" s="52" t="s">
        <v>225</v>
      </c>
      <c r="C448" s="52">
        <v>47</v>
      </c>
      <c r="D448" s="52">
        <v>50</v>
      </c>
      <c r="E448" s="52">
        <v>57</v>
      </c>
      <c r="F448" s="52">
        <v>56</v>
      </c>
      <c r="G448" s="52">
        <v>56</v>
      </c>
      <c r="H448" s="52"/>
      <c r="I448" s="52">
        <v>67</v>
      </c>
      <c r="J448" s="52">
        <v>74</v>
      </c>
      <c r="K448" s="52">
        <v>74</v>
      </c>
      <c r="L448" s="52">
        <v>67</v>
      </c>
      <c r="M448" s="52">
        <v>64</v>
      </c>
      <c r="N448" s="52">
        <v>54</v>
      </c>
      <c r="O448" s="52">
        <v>48</v>
      </c>
    </row>
    <row r="449" spans="2:15" x14ac:dyDescent="0.35">
      <c r="B449" s="52" t="s">
        <v>224</v>
      </c>
      <c r="C449" s="52">
        <v>72</v>
      </c>
      <c r="D449" s="52">
        <v>71</v>
      </c>
      <c r="E449" s="52">
        <v>70</v>
      </c>
      <c r="F449" s="52">
        <v>68</v>
      </c>
      <c r="G449" s="52">
        <v>59</v>
      </c>
      <c r="H449" s="52"/>
      <c r="I449" s="52">
        <v>58</v>
      </c>
      <c r="J449" s="52">
        <v>68</v>
      </c>
      <c r="K449" s="52">
        <v>70</v>
      </c>
      <c r="L449" s="52">
        <v>69</v>
      </c>
      <c r="M449" s="52">
        <v>68</v>
      </c>
      <c r="N449" s="52">
        <v>75</v>
      </c>
      <c r="O449" s="52">
        <v>73</v>
      </c>
    </row>
    <row r="450" spans="2:15" x14ac:dyDescent="0.35">
      <c r="B450" s="52" t="s">
        <v>223</v>
      </c>
      <c r="C450" s="52">
        <v>56</v>
      </c>
      <c r="D450" s="52">
        <v>62</v>
      </c>
      <c r="E450" s="52">
        <v>69</v>
      </c>
      <c r="F450" s="52">
        <v>73</v>
      </c>
      <c r="G450" s="52">
        <v>72</v>
      </c>
      <c r="H450" s="52"/>
      <c r="I450" s="52">
        <v>73</v>
      </c>
      <c r="J450" s="52">
        <v>66</v>
      </c>
      <c r="K450" s="52">
        <v>65</v>
      </c>
      <c r="L450" s="52">
        <v>72</v>
      </c>
      <c r="M450" s="52">
        <v>70</v>
      </c>
      <c r="N450" s="52">
        <v>62</v>
      </c>
      <c r="O450" s="52">
        <v>53</v>
      </c>
    </row>
    <row r="451" spans="2:15" x14ac:dyDescent="0.35">
      <c r="B451" s="52" t="s">
        <v>222</v>
      </c>
      <c r="C451" s="52">
        <v>69</v>
      </c>
      <c r="D451" s="52">
        <v>70</v>
      </c>
      <c r="E451" s="52">
        <v>76</v>
      </c>
      <c r="F451" s="52">
        <v>72</v>
      </c>
      <c r="G451" s="52">
        <v>64</v>
      </c>
      <c r="H451" s="52"/>
      <c r="I451" s="52">
        <v>65</v>
      </c>
      <c r="J451" s="52">
        <v>69</v>
      </c>
      <c r="K451" s="52">
        <v>68</v>
      </c>
      <c r="L451" s="52">
        <v>62</v>
      </c>
      <c r="M451" s="52">
        <v>64</v>
      </c>
      <c r="N451" s="52">
        <v>60</v>
      </c>
      <c r="O451" s="52">
        <v>61</v>
      </c>
    </row>
    <row r="452" spans="2:15" x14ac:dyDescent="0.35">
      <c r="B452" s="52" t="s">
        <v>221</v>
      </c>
      <c r="C452" s="52">
        <v>36</v>
      </c>
      <c r="D452" s="52">
        <v>47</v>
      </c>
      <c r="E452" s="52">
        <v>55</v>
      </c>
      <c r="F452" s="52">
        <v>54</v>
      </c>
      <c r="G452" s="52">
        <v>57</v>
      </c>
      <c r="H452" s="52"/>
      <c r="I452" s="52">
        <v>58</v>
      </c>
      <c r="J452" s="52">
        <v>62</v>
      </c>
      <c r="K452" s="52">
        <v>58</v>
      </c>
      <c r="L452" s="52">
        <v>45</v>
      </c>
      <c r="M452" s="52">
        <v>38</v>
      </c>
      <c r="N452" s="52">
        <v>24</v>
      </c>
      <c r="O452" s="52">
        <v>27</v>
      </c>
    </row>
    <row r="453" spans="2:15" x14ac:dyDescent="0.35">
      <c r="B453" s="52" t="s">
        <v>220</v>
      </c>
      <c r="C453" s="52">
        <v>54</v>
      </c>
      <c r="D453" s="52">
        <v>57</v>
      </c>
      <c r="E453" s="52">
        <v>62</v>
      </c>
      <c r="F453" s="52">
        <v>71</v>
      </c>
      <c r="G453" s="52">
        <v>68</v>
      </c>
      <c r="H453" s="52"/>
      <c r="I453" s="52">
        <v>65</v>
      </c>
      <c r="J453" s="52">
        <v>64</v>
      </c>
      <c r="K453" s="52">
        <v>62</v>
      </c>
      <c r="L453" s="52">
        <v>58</v>
      </c>
      <c r="M453" s="52">
        <v>63</v>
      </c>
      <c r="N453" s="52">
        <v>61</v>
      </c>
      <c r="O453" s="52">
        <v>55</v>
      </c>
    </row>
    <row r="454" spans="2:15" x14ac:dyDescent="0.35">
      <c r="B454" s="52" t="s">
        <v>219</v>
      </c>
      <c r="C454" s="52">
        <v>28</v>
      </c>
      <c r="D454" s="52">
        <v>34</v>
      </c>
      <c r="E454" s="52">
        <v>42</v>
      </c>
      <c r="F454" s="52">
        <v>47</v>
      </c>
      <c r="G454" s="52">
        <v>52</v>
      </c>
      <c r="H454" s="52"/>
      <c r="I454" s="52">
        <v>49</v>
      </c>
      <c r="J454" s="52">
        <v>63</v>
      </c>
      <c r="K454" s="52">
        <v>56</v>
      </c>
      <c r="L454" s="52">
        <v>53</v>
      </c>
      <c r="M454" s="52">
        <v>37</v>
      </c>
      <c r="N454" s="52">
        <v>28</v>
      </c>
      <c r="O454" s="52">
        <v>23</v>
      </c>
    </row>
    <row r="455" spans="2:15" x14ac:dyDescent="0.35">
      <c r="B455" s="52" t="s">
        <v>218</v>
      </c>
      <c r="C455" s="52">
        <v>28</v>
      </c>
      <c r="D455" s="52">
        <v>40</v>
      </c>
      <c r="E455" s="52">
        <v>50</v>
      </c>
      <c r="F455" s="52">
        <v>52</v>
      </c>
      <c r="G455" s="52">
        <v>56</v>
      </c>
      <c r="H455" s="52"/>
      <c r="I455" s="52">
        <v>56</v>
      </c>
      <c r="J455" s="52">
        <v>65</v>
      </c>
      <c r="K455" s="52">
        <v>65</v>
      </c>
      <c r="L455" s="52">
        <v>62</v>
      </c>
      <c r="M455" s="52">
        <v>43</v>
      </c>
      <c r="N455" s="52">
        <v>28</v>
      </c>
      <c r="O455" s="52">
        <v>23</v>
      </c>
    </row>
    <row r="456" spans="2:15" x14ac:dyDescent="0.35">
      <c r="B456" s="52" t="s">
        <v>217</v>
      </c>
      <c r="C456" s="52">
        <v>57</v>
      </c>
      <c r="D456" s="52">
        <v>60</v>
      </c>
      <c r="E456" s="52">
        <v>63</v>
      </c>
      <c r="F456" s="52">
        <v>60</v>
      </c>
      <c r="G456" s="52">
        <v>60</v>
      </c>
      <c r="H456" s="52"/>
      <c r="I456" s="52">
        <v>65</v>
      </c>
      <c r="J456" s="52">
        <v>75</v>
      </c>
      <c r="K456" s="52">
        <v>75</v>
      </c>
      <c r="L456" s="52">
        <v>68</v>
      </c>
      <c r="M456" s="52">
        <v>62</v>
      </c>
      <c r="N456" s="52">
        <v>53</v>
      </c>
      <c r="O456" s="52">
        <v>55</v>
      </c>
    </row>
    <row r="457" spans="2:15" x14ac:dyDescent="0.35">
      <c r="B457" s="52" t="s">
        <v>216</v>
      </c>
      <c r="C457" s="52">
        <v>51</v>
      </c>
      <c r="D457" s="52">
        <v>57</v>
      </c>
      <c r="E457" s="52">
        <v>58</v>
      </c>
      <c r="F457" s="52">
        <v>60</v>
      </c>
      <c r="G457" s="52">
        <v>63</v>
      </c>
      <c r="H457" s="52"/>
      <c r="I457" s="52">
        <v>71</v>
      </c>
      <c r="J457" s="52">
        <v>75</v>
      </c>
      <c r="K457" s="52">
        <v>74</v>
      </c>
      <c r="L457" s="52">
        <v>70</v>
      </c>
      <c r="M457" s="52">
        <v>70</v>
      </c>
      <c r="N457" s="52">
        <v>60</v>
      </c>
      <c r="O457" s="52">
        <v>54</v>
      </c>
    </row>
    <row r="458" spans="2:15" x14ac:dyDescent="0.35">
      <c r="B458" s="52" t="s">
        <v>215</v>
      </c>
      <c r="C458" s="52">
        <v>57</v>
      </c>
      <c r="D458" s="52">
        <v>56</v>
      </c>
      <c r="E458" s="52">
        <v>57</v>
      </c>
      <c r="F458" s="52">
        <v>59</v>
      </c>
      <c r="G458" s="52">
        <v>61</v>
      </c>
      <c r="H458" s="52"/>
      <c r="I458" s="52">
        <v>67</v>
      </c>
      <c r="J458" s="52">
        <v>73</v>
      </c>
      <c r="K458" s="52">
        <v>70</v>
      </c>
      <c r="L458" s="52">
        <v>66</v>
      </c>
      <c r="M458" s="52">
        <v>63</v>
      </c>
      <c r="N458" s="52">
        <v>51</v>
      </c>
      <c r="O458" s="52">
        <v>50</v>
      </c>
    </row>
    <row r="459" spans="2:15" x14ac:dyDescent="0.35">
      <c r="B459" s="52" t="s">
        <v>214</v>
      </c>
      <c r="C459" s="52">
        <v>28</v>
      </c>
      <c r="D459" s="52">
        <v>41</v>
      </c>
      <c r="E459" s="52">
        <v>55</v>
      </c>
      <c r="F459" s="52">
        <v>61</v>
      </c>
      <c r="G459" s="52">
        <v>65</v>
      </c>
      <c r="H459" s="52"/>
      <c r="I459" s="52">
        <v>67</v>
      </c>
      <c r="J459" s="52">
        <v>80</v>
      </c>
      <c r="K459" s="52">
        <v>78</v>
      </c>
      <c r="L459" s="52">
        <v>72</v>
      </c>
      <c r="M459" s="52">
        <v>55</v>
      </c>
      <c r="N459" s="52">
        <v>29</v>
      </c>
      <c r="O459" s="52">
        <v>23</v>
      </c>
    </row>
    <row r="460" spans="2:15" x14ac:dyDescent="0.35">
      <c r="B460" s="52" t="s">
        <v>213</v>
      </c>
      <c r="C460" s="52">
        <v>48</v>
      </c>
      <c r="D460" s="52">
        <v>52</v>
      </c>
      <c r="E460" s="52">
        <v>51</v>
      </c>
      <c r="F460" s="52">
        <v>56</v>
      </c>
      <c r="G460" s="52">
        <v>63</v>
      </c>
      <c r="H460" s="52"/>
      <c r="I460" s="52">
        <v>68</v>
      </c>
      <c r="J460" s="52">
        <v>71</v>
      </c>
      <c r="K460" s="52">
        <v>70</v>
      </c>
      <c r="L460" s="52">
        <v>68</v>
      </c>
      <c r="M460" s="52">
        <v>63</v>
      </c>
      <c r="N460" s="52">
        <v>48</v>
      </c>
      <c r="O460" s="52">
        <v>44</v>
      </c>
    </row>
    <row r="461" spans="2:15" x14ac:dyDescent="0.35">
      <c r="B461" s="52" t="s">
        <v>212</v>
      </c>
      <c r="C461" s="52">
        <v>50</v>
      </c>
      <c r="D461" s="52">
        <v>52</v>
      </c>
      <c r="E461" s="52">
        <v>56</v>
      </c>
      <c r="F461" s="52">
        <v>59</v>
      </c>
      <c r="G461" s="52">
        <v>60</v>
      </c>
      <c r="H461" s="52"/>
      <c r="I461" s="52">
        <v>65</v>
      </c>
      <c r="J461" s="52">
        <v>71</v>
      </c>
      <c r="K461" s="52">
        <v>71</v>
      </c>
      <c r="L461" s="52">
        <v>67</v>
      </c>
      <c r="M461" s="52">
        <v>64</v>
      </c>
      <c r="N461" s="52">
        <v>52</v>
      </c>
      <c r="O461" s="52">
        <v>48</v>
      </c>
    </row>
    <row r="462" spans="2:15" x14ac:dyDescent="0.35">
      <c r="B462" s="52" t="s">
        <v>211</v>
      </c>
      <c r="C462" s="52">
        <v>50</v>
      </c>
      <c r="D462" s="52">
        <v>52</v>
      </c>
      <c r="E462" s="52">
        <v>54</v>
      </c>
      <c r="F462" s="52">
        <v>56</v>
      </c>
      <c r="G462" s="52">
        <v>59</v>
      </c>
      <c r="H462" s="52"/>
      <c r="I462" s="52">
        <v>66</v>
      </c>
      <c r="J462" s="52">
        <v>68</v>
      </c>
      <c r="K462" s="52">
        <v>65</v>
      </c>
      <c r="L462" s="52">
        <v>63</v>
      </c>
      <c r="M462" s="52">
        <v>60</v>
      </c>
      <c r="N462" s="52">
        <v>46</v>
      </c>
      <c r="O462" s="52">
        <v>43</v>
      </c>
    </row>
    <row r="463" spans="2:15" x14ac:dyDescent="0.35">
      <c r="B463" s="52" t="s">
        <v>210</v>
      </c>
      <c r="C463" s="52">
        <v>33</v>
      </c>
      <c r="D463" s="52">
        <v>39</v>
      </c>
      <c r="E463" s="52">
        <v>46</v>
      </c>
      <c r="F463" s="52">
        <v>49</v>
      </c>
      <c r="G463" s="52">
        <v>55</v>
      </c>
      <c r="H463" s="52"/>
      <c r="I463" s="52">
        <v>59</v>
      </c>
      <c r="J463" s="52">
        <v>63</v>
      </c>
      <c r="K463" s="52">
        <v>59</v>
      </c>
      <c r="L463" s="52">
        <v>53</v>
      </c>
      <c r="M463" s="52">
        <v>44</v>
      </c>
      <c r="N463" s="52">
        <v>26</v>
      </c>
      <c r="O463" s="52">
        <v>25</v>
      </c>
    </row>
    <row r="464" spans="2:15" x14ac:dyDescent="0.35">
      <c r="B464" s="52" t="s">
        <v>209</v>
      </c>
      <c r="C464" s="52">
        <v>63</v>
      </c>
      <c r="D464" s="52">
        <v>65</v>
      </c>
      <c r="E464" s="52">
        <v>71</v>
      </c>
      <c r="F464" s="52">
        <v>75</v>
      </c>
      <c r="G464" s="52">
        <v>75</v>
      </c>
      <c r="H464" s="52"/>
      <c r="I464" s="52">
        <v>67</v>
      </c>
      <c r="J464" s="52">
        <v>62</v>
      </c>
      <c r="K464" s="52">
        <v>61</v>
      </c>
      <c r="L464" s="52">
        <v>61</v>
      </c>
      <c r="M464" s="52">
        <v>65</v>
      </c>
      <c r="N464" s="52">
        <v>64</v>
      </c>
      <c r="O464" s="52">
        <v>61</v>
      </c>
    </row>
    <row r="465" spans="2:15" x14ac:dyDescent="0.35">
      <c r="B465" s="52" t="s">
        <v>208</v>
      </c>
      <c r="C465" s="52">
        <v>41</v>
      </c>
      <c r="D465" s="52">
        <v>46</v>
      </c>
      <c r="E465" s="52">
        <v>50</v>
      </c>
      <c r="F465" s="52">
        <v>52</v>
      </c>
      <c r="G465" s="52">
        <v>60</v>
      </c>
      <c r="H465" s="52"/>
      <c r="I465" s="52">
        <v>64</v>
      </c>
      <c r="J465" s="52">
        <v>65</v>
      </c>
      <c r="K465" s="52">
        <v>63</v>
      </c>
      <c r="L465" s="52">
        <v>61</v>
      </c>
      <c r="M465" s="52">
        <v>54</v>
      </c>
      <c r="N465" s="52">
        <v>37</v>
      </c>
      <c r="O465" s="52">
        <v>33</v>
      </c>
    </row>
    <row r="466" spans="2:15" x14ac:dyDescent="0.35">
      <c r="B466" s="52" t="s">
        <v>207</v>
      </c>
      <c r="C466" s="52">
        <v>56</v>
      </c>
      <c r="D466" s="52">
        <v>55</v>
      </c>
      <c r="E466" s="52">
        <v>57</v>
      </c>
      <c r="F466" s="52">
        <v>58</v>
      </c>
      <c r="G466" s="52">
        <v>61</v>
      </c>
      <c r="H466" s="52"/>
      <c r="I466" s="52">
        <v>66</v>
      </c>
      <c r="J466" s="52">
        <v>71</v>
      </c>
      <c r="K466" s="52">
        <v>70</v>
      </c>
      <c r="L466" s="52">
        <v>66</v>
      </c>
      <c r="M466" s="52">
        <v>64</v>
      </c>
      <c r="N466" s="52">
        <v>54</v>
      </c>
      <c r="O466" s="52">
        <v>52</v>
      </c>
    </row>
    <row r="467" spans="2:15" x14ac:dyDescent="0.35">
      <c r="B467" s="52" t="s">
        <v>206</v>
      </c>
      <c r="C467" s="52">
        <v>80</v>
      </c>
      <c r="D467" s="52">
        <v>82</v>
      </c>
      <c r="E467" s="52">
        <v>86</v>
      </c>
      <c r="F467" s="52">
        <v>90</v>
      </c>
      <c r="G467" s="52">
        <v>92</v>
      </c>
      <c r="H467" s="52"/>
      <c r="I467" s="52">
        <v>93</v>
      </c>
      <c r="J467" s="52">
        <v>78</v>
      </c>
      <c r="K467" s="52">
        <v>80</v>
      </c>
      <c r="L467" s="52">
        <v>87</v>
      </c>
      <c r="M467" s="52">
        <v>88</v>
      </c>
      <c r="N467" s="52">
        <v>84</v>
      </c>
      <c r="O467" s="52">
        <v>79</v>
      </c>
    </row>
    <row r="468" spans="2:15" x14ac:dyDescent="0.35">
      <c r="B468" s="52" t="s">
        <v>205</v>
      </c>
      <c r="C468" s="52">
        <v>53</v>
      </c>
      <c r="D468" s="52">
        <v>56</v>
      </c>
      <c r="E468" s="52">
        <v>58</v>
      </c>
      <c r="F468" s="52">
        <v>60</v>
      </c>
      <c r="G468" s="52">
        <v>60</v>
      </c>
      <c r="H468" s="52"/>
      <c r="I468" s="52">
        <v>66</v>
      </c>
      <c r="J468" s="52">
        <v>74</v>
      </c>
      <c r="K468" s="52">
        <v>73</v>
      </c>
      <c r="L468" s="52">
        <v>66</v>
      </c>
      <c r="M468" s="52">
        <v>64</v>
      </c>
      <c r="N468" s="52">
        <v>56</v>
      </c>
      <c r="O468" s="52">
        <v>53</v>
      </c>
    </row>
    <row r="469" spans="2:15" x14ac:dyDescent="0.35">
      <c r="B469" s="52" t="s">
        <v>204</v>
      </c>
      <c r="C469" s="52">
        <v>53</v>
      </c>
      <c r="D469" s="52">
        <v>53</v>
      </c>
      <c r="E469" s="52">
        <v>61</v>
      </c>
      <c r="F469" s="52">
        <v>73</v>
      </c>
      <c r="G469" s="52">
        <v>72</v>
      </c>
      <c r="H469" s="52"/>
      <c r="I469" s="52">
        <v>74</v>
      </c>
      <c r="J469" s="52">
        <v>75</v>
      </c>
      <c r="K469" s="52">
        <v>73</v>
      </c>
      <c r="L469" s="52">
        <v>72</v>
      </c>
      <c r="M469" s="52">
        <v>62</v>
      </c>
      <c r="N469" s="52">
        <v>51</v>
      </c>
      <c r="O469" s="52">
        <v>46</v>
      </c>
    </row>
    <row r="470" spans="2:15" x14ac:dyDescent="0.35">
      <c r="B470" s="52" t="s">
        <v>203</v>
      </c>
      <c r="C470" s="52">
        <v>63</v>
      </c>
      <c r="D470" s="52">
        <v>62</v>
      </c>
      <c r="E470" s="52">
        <v>59</v>
      </c>
      <c r="F470" s="52">
        <v>59</v>
      </c>
      <c r="G470" s="52">
        <v>62</v>
      </c>
      <c r="H470" s="52"/>
      <c r="I470" s="52">
        <v>69</v>
      </c>
      <c r="J470" s="52">
        <v>76</v>
      </c>
      <c r="K470" s="52">
        <v>76</v>
      </c>
      <c r="L470" s="52">
        <v>71</v>
      </c>
      <c r="M470" s="52">
        <v>68</v>
      </c>
      <c r="N470" s="52">
        <v>60</v>
      </c>
      <c r="O470" s="52">
        <v>60</v>
      </c>
    </row>
    <row r="471" spans="2:15" x14ac:dyDescent="0.35">
      <c r="B471" s="52" t="s">
        <v>202</v>
      </c>
      <c r="C471" s="52">
        <v>68</v>
      </c>
      <c r="D471" s="52">
        <v>71</v>
      </c>
      <c r="E471" s="52">
        <v>76</v>
      </c>
      <c r="F471" s="52">
        <v>75</v>
      </c>
      <c r="G471" s="52">
        <v>75</v>
      </c>
      <c r="H471" s="52"/>
      <c r="I471" s="52">
        <v>76</v>
      </c>
      <c r="J471" s="52">
        <v>72</v>
      </c>
      <c r="K471" s="52">
        <v>68</v>
      </c>
      <c r="L471" s="52">
        <v>68</v>
      </c>
      <c r="M471" s="52">
        <v>68</v>
      </c>
      <c r="N471" s="52">
        <v>65</v>
      </c>
      <c r="O471" s="52">
        <v>64</v>
      </c>
    </row>
    <row r="472" spans="2:15" x14ac:dyDescent="0.35">
      <c r="B472" s="52" t="s">
        <v>201</v>
      </c>
      <c r="C472" s="52">
        <v>46</v>
      </c>
      <c r="D472" s="52">
        <v>50</v>
      </c>
      <c r="E472" s="52">
        <v>55</v>
      </c>
      <c r="F472" s="52">
        <v>57</v>
      </c>
      <c r="G472" s="52">
        <v>58</v>
      </c>
      <c r="H472" s="52"/>
      <c r="I472" s="52">
        <v>64</v>
      </c>
      <c r="J472" s="52">
        <v>62</v>
      </c>
      <c r="K472" s="52">
        <v>62</v>
      </c>
      <c r="L472" s="52">
        <v>61</v>
      </c>
      <c r="M472" s="52">
        <v>59</v>
      </c>
      <c r="N472" s="52">
        <v>51</v>
      </c>
      <c r="O472" s="52">
        <v>46</v>
      </c>
    </row>
    <row r="473" spans="2:15" x14ac:dyDescent="0.35">
      <c r="B473" s="52" t="s">
        <v>200</v>
      </c>
      <c r="C473" s="52">
        <v>58</v>
      </c>
      <c r="D473" s="52">
        <v>61</v>
      </c>
      <c r="E473" s="52">
        <v>62</v>
      </c>
      <c r="F473" s="52">
        <v>63</v>
      </c>
      <c r="G473" s="52">
        <v>64</v>
      </c>
      <c r="H473" s="52"/>
      <c r="I473" s="52">
        <v>69</v>
      </c>
      <c r="J473" s="52">
        <v>76</v>
      </c>
      <c r="K473" s="52">
        <v>75</v>
      </c>
      <c r="L473" s="52">
        <v>68</v>
      </c>
      <c r="M473" s="52">
        <v>65</v>
      </c>
      <c r="N473" s="52">
        <v>58</v>
      </c>
      <c r="O473" s="52">
        <v>57</v>
      </c>
    </row>
    <row r="474" spans="2:15" x14ac:dyDescent="0.35">
      <c r="B474" s="52" t="s">
        <v>199</v>
      </c>
      <c r="C474" s="52">
        <v>51</v>
      </c>
      <c r="D474" s="52">
        <v>57</v>
      </c>
      <c r="E474" s="52">
        <v>61</v>
      </c>
      <c r="F474" s="52">
        <v>60</v>
      </c>
      <c r="G474" s="52">
        <v>62</v>
      </c>
      <c r="H474" s="52"/>
      <c r="I474" s="52">
        <v>66</v>
      </c>
      <c r="J474" s="52">
        <v>74</v>
      </c>
      <c r="K474" s="52">
        <v>74</v>
      </c>
      <c r="L474" s="52">
        <v>67</v>
      </c>
      <c r="M474" s="52">
        <v>59</v>
      </c>
      <c r="N474" s="52">
        <v>45</v>
      </c>
      <c r="O474" s="52">
        <v>50</v>
      </c>
    </row>
    <row r="475" spans="2:15" x14ac:dyDescent="0.35">
      <c r="B475" s="52" t="s">
        <v>198</v>
      </c>
      <c r="C475" s="52">
        <v>56</v>
      </c>
      <c r="D475" s="52">
        <v>59</v>
      </c>
      <c r="E475" s="52">
        <v>64</v>
      </c>
      <c r="F475" s="52">
        <v>70</v>
      </c>
      <c r="G475" s="52">
        <v>67</v>
      </c>
      <c r="H475" s="52"/>
      <c r="I475" s="52">
        <v>66</v>
      </c>
      <c r="J475" s="52">
        <v>64</v>
      </c>
      <c r="K475" s="52">
        <v>62</v>
      </c>
      <c r="L475" s="52">
        <v>61</v>
      </c>
      <c r="M475" s="52">
        <v>64</v>
      </c>
      <c r="N475" s="52">
        <v>63</v>
      </c>
      <c r="O475" s="52">
        <v>59</v>
      </c>
    </row>
    <row r="476" spans="2:15" x14ac:dyDescent="0.35">
      <c r="B476" s="52" t="s">
        <v>197</v>
      </c>
      <c r="C476" s="52">
        <v>51</v>
      </c>
      <c r="D476" s="52">
        <v>56</v>
      </c>
      <c r="E476" s="52">
        <v>60</v>
      </c>
      <c r="F476" s="52">
        <v>66</v>
      </c>
      <c r="G476" s="52">
        <v>72</v>
      </c>
      <c r="H476" s="52"/>
      <c r="I476" s="52">
        <v>77</v>
      </c>
      <c r="J476" s="52">
        <v>86</v>
      </c>
      <c r="K476" s="52">
        <v>85</v>
      </c>
      <c r="L476" s="52">
        <v>82</v>
      </c>
      <c r="M476" s="52">
        <v>74</v>
      </c>
      <c r="N476" s="52">
        <v>54</v>
      </c>
      <c r="O476" s="52">
        <v>52</v>
      </c>
    </row>
    <row r="477" spans="2:15" x14ac:dyDescent="0.35">
      <c r="B477" s="52" t="s">
        <v>196</v>
      </c>
      <c r="C477" s="52">
        <v>60</v>
      </c>
      <c r="D477" s="52">
        <v>62</v>
      </c>
      <c r="E477" s="52">
        <v>68</v>
      </c>
      <c r="F477" s="52">
        <v>68</v>
      </c>
      <c r="G477" s="52">
        <v>65</v>
      </c>
      <c r="H477" s="52"/>
      <c r="I477" s="52">
        <v>52</v>
      </c>
      <c r="J477" s="52">
        <v>47</v>
      </c>
      <c r="K477" s="52">
        <v>46</v>
      </c>
      <c r="L477" s="52">
        <v>50</v>
      </c>
      <c r="M477" s="52">
        <v>47</v>
      </c>
      <c r="N477" s="52">
        <v>52</v>
      </c>
      <c r="O477" s="52">
        <v>49</v>
      </c>
    </row>
    <row r="478" spans="2:15" x14ac:dyDescent="0.35">
      <c r="B478" s="52" t="s">
        <v>195</v>
      </c>
      <c r="C478" s="52">
        <v>84</v>
      </c>
      <c r="D478" s="52">
        <v>87</v>
      </c>
      <c r="E478" s="52">
        <v>90</v>
      </c>
      <c r="F478" s="52">
        <v>94</v>
      </c>
      <c r="G478" s="52">
        <v>95</v>
      </c>
      <c r="H478" s="52"/>
      <c r="I478" s="52">
        <v>97</v>
      </c>
      <c r="J478" s="52">
        <v>91</v>
      </c>
      <c r="K478" s="52">
        <v>91</v>
      </c>
      <c r="L478" s="52">
        <v>93</v>
      </c>
      <c r="M478" s="52">
        <v>92</v>
      </c>
      <c r="N478" s="52">
        <v>87</v>
      </c>
      <c r="O478" s="52">
        <v>82</v>
      </c>
    </row>
  </sheetData>
  <mergeCells count="3">
    <mergeCell ref="C3:K3"/>
    <mergeCell ref="C5:K5"/>
    <mergeCell ref="B13:F13"/>
  </mergeCells>
  <dataValidations count="2">
    <dataValidation type="list" allowBlank="1" showInputMessage="1" showErrorMessage="1" sqref="R15 R26" xr:uid="{A9DE6D39-CC46-4E69-880E-315CE57CD835}">
      <formula1>$B$13:$M$13</formula1>
    </dataValidation>
    <dataValidation type="list" allowBlank="1" showInputMessage="1" showErrorMessage="1" sqref="R14 D8 R25" xr:uid="{95F01FB7-5F3C-4734-B550-F826B8DEB6E5}">
      <formula1>$G$15:$G$298</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15BFD531-CFE6-4523-BE18-6E437F422306}">
          <x14:formula1>
            <xm:f>Lists!$B$4:$B$15</xm:f>
          </x14:formula1>
          <xm:sqref>D9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4CDB4-E6FC-4321-9FF7-FE25ABC50460}">
  <sheetPr codeName="Sheet4">
    <tabColor rgb="FF7030A0"/>
  </sheetPr>
  <dimension ref="B3:K38"/>
  <sheetViews>
    <sheetView zoomScale="115" zoomScaleNormal="115" workbookViewId="0">
      <selection activeCell="M8" sqref="M8"/>
    </sheetView>
  </sheetViews>
  <sheetFormatPr defaultRowHeight="14.5" x14ac:dyDescent="0.35"/>
  <cols>
    <col min="2" max="2" width="49.453125" customWidth="1"/>
    <col min="6" max="6" width="18.90625" customWidth="1"/>
    <col min="7" max="7" width="10.36328125" customWidth="1"/>
    <col min="8" max="8" width="15.1796875" customWidth="1"/>
    <col min="9" max="9" width="12.81640625" customWidth="1"/>
    <col min="11" max="11" width="18.1796875" customWidth="1"/>
  </cols>
  <sheetData>
    <row r="3" spans="2:11" ht="23.5" x14ac:dyDescent="0.55000000000000004">
      <c r="B3" s="51" t="s">
        <v>566</v>
      </c>
      <c r="C3" s="108" t="s">
        <v>556</v>
      </c>
      <c r="D3" s="108"/>
      <c r="E3" s="108"/>
      <c r="F3" s="108"/>
      <c r="G3" s="108"/>
      <c r="H3" s="108"/>
      <c r="I3" s="108"/>
      <c r="J3" s="108"/>
      <c r="K3" s="108"/>
    </row>
    <row r="4" spans="2:11" ht="23.5" x14ac:dyDescent="0.55000000000000004">
      <c r="B4" s="51"/>
    </row>
    <row r="6" spans="2:11" ht="200" customHeight="1" x14ac:dyDescent="0.35">
      <c r="B6" s="70" t="s">
        <v>557</v>
      </c>
      <c r="C6" s="106" t="s">
        <v>559</v>
      </c>
      <c r="D6" s="106"/>
      <c r="E6" s="106"/>
      <c r="F6" s="106"/>
      <c r="G6" s="106"/>
      <c r="H6" s="106"/>
      <c r="I6" s="106"/>
      <c r="J6" s="106"/>
      <c r="K6" s="106"/>
    </row>
    <row r="8" spans="2:11" ht="289" customHeight="1" x14ac:dyDescent="0.35">
      <c r="B8" s="70" t="s">
        <v>558</v>
      </c>
      <c r="C8" s="106" t="s">
        <v>562</v>
      </c>
      <c r="D8" s="106"/>
      <c r="E8" s="106"/>
      <c r="F8" s="106"/>
      <c r="G8" s="106"/>
      <c r="H8" s="106"/>
      <c r="I8" s="106"/>
      <c r="J8" s="106"/>
      <c r="K8" s="106"/>
    </row>
    <row r="11" spans="2:11" ht="23.5" x14ac:dyDescent="0.35">
      <c r="B11" s="70" t="s">
        <v>560</v>
      </c>
      <c r="C11" s="106" t="s">
        <v>561</v>
      </c>
      <c r="D11" s="106"/>
      <c r="E11" s="106"/>
      <c r="F11" s="106"/>
      <c r="G11" s="106"/>
      <c r="H11" s="106"/>
      <c r="I11" s="106"/>
      <c r="J11" s="106"/>
      <c r="K11" s="106"/>
    </row>
    <row r="12" spans="2:11" ht="15.5" x14ac:dyDescent="0.35">
      <c r="C12" s="42"/>
      <c r="D12" s="42"/>
      <c r="E12" s="42"/>
      <c r="F12" s="42"/>
      <c r="G12" s="42"/>
      <c r="H12" s="42"/>
      <c r="I12" s="42"/>
      <c r="J12" s="42"/>
      <c r="K12" s="42"/>
    </row>
    <row r="13" spans="2:11" ht="15.5" x14ac:dyDescent="0.35">
      <c r="C13" s="42"/>
      <c r="D13" s="42"/>
      <c r="E13" s="42"/>
      <c r="F13" s="42"/>
      <c r="G13" s="42"/>
      <c r="H13" s="42"/>
      <c r="I13" s="42"/>
      <c r="J13" s="42"/>
      <c r="K13" s="42"/>
    </row>
    <row r="14" spans="2:11" x14ac:dyDescent="0.35">
      <c r="F14" s="55"/>
      <c r="G14" s="55"/>
      <c r="H14" s="55"/>
      <c r="I14" s="55"/>
      <c r="J14" s="63"/>
      <c r="K14" s="63"/>
    </row>
    <row r="15" spans="2:11" ht="18.5" x14ac:dyDescent="0.45">
      <c r="F15" s="85" t="s">
        <v>37</v>
      </c>
      <c r="G15" s="85" t="s">
        <v>38</v>
      </c>
      <c r="H15" s="85" t="s">
        <v>87</v>
      </c>
      <c r="I15" s="55"/>
      <c r="J15" s="77" t="s">
        <v>85</v>
      </c>
      <c r="K15" s="95" t="s">
        <v>83</v>
      </c>
    </row>
    <row r="16" spans="2:11" ht="15.5" x14ac:dyDescent="0.35">
      <c r="F16" s="86" t="s">
        <v>44</v>
      </c>
      <c r="G16" s="86" t="s">
        <v>42</v>
      </c>
      <c r="H16" s="86">
        <v>6493</v>
      </c>
      <c r="I16" s="55"/>
      <c r="J16" s="77" t="s">
        <v>86</v>
      </c>
      <c r="K16" s="96" t="str">
        <f>LOOKUP(K15,G16:G38,F16:F38)</f>
        <v>Manchester</v>
      </c>
    </row>
    <row r="17" spans="6:11" ht="15.5" x14ac:dyDescent="0.35">
      <c r="F17" s="86" t="s">
        <v>78</v>
      </c>
      <c r="G17" s="86" t="s">
        <v>39</v>
      </c>
      <c r="H17" s="86">
        <v>4369</v>
      </c>
      <c r="I17" s="55"/>
      <c r="J17" s="77" t="s">
        <v>88</v>
      </c>
      <c r="K17" s="96">
        <f>LOOKUP(K15,G16:G38,H16:H38)</f>
        <v>2608</v>
      </c>
    </row>
    <row r="18" spans="6:11" ht="15.5" x14ac:dyDescent="0.35">
      <c r="F18" s="86" t="s">
        <v>80</v>
      </c>
      <c r="G18" s="86" t="s">
        <v>81</v>
      </c>
      <c r="H18" s="86">
        <v>4505</v>
      </c>
      <c r="I18" s="55"/>
      <c r="J18" s="75"/>
      <c r="K18" s="75"/>
    </row>
    <row r="19" spans="6:11" ht="15.5" x14ac:dyDescent="0.35">
      <c r="F19" s="86" t="s">
        <v>66</v>
      </c>
      <c r="G19" s="86" t="s">
        <v>55</v>
      </c>
      <c r="H19" s="86">
        <v>8745</v>
      </c>
      <c r="I19" s="55"/>
      <c r="J19" s="77"/>
    </row>
    <row r="20" spans="6:11" ht="15.5" x14ac:dyDescent="0.35">
      <c r="F20" s="86" t="s">
        <v>73</v>
      </c>
      <c r="G20" s="86" t="s">
        <v>74</v>
      </c>
      <c r="H20" s="86">
        <v>6273</v>
      </c>
      <c r="I20" s="55"/>
      <c r="J20" s="77"/>
    </row>
    <row r="21" spans="6:11" ht="15.5" x14ac:dyDescent="0.35">
      <c r="F21" s="86" t="s">
        <v>67</v>
      </c>
      <c r="G21" s="86" t="s">
        <v>68</v>
      </c>
      <c r="H21" s="86">
        <v>9384</v>
      </c>
    </row>
    <row r="22" spans="6:11" ht="15.5" x14ac:dyDescent="0.35">
      <c r="F22" s="86" t="s">
        <v>45</v>
      </c>
      <c r="G22" s="86" t="s">
        <v>46</v>
      </c>
      <c r="H22" s="86">
        <v>5654</v>
      </c>
    </row>
    <row r="23" spans="6:11" ht="15.5" x14ac:dyDescent="0.35">
      <c r="F23" s="86" t="s">
        <v>72</v>
      </c>
      <c r="G23" s="86" t="s">
        <v>69</v>
      </c>
      <c r="H23" s="86">
        <v>3972</v>
      </c>
    </row>
    <row r="24" spans="6:11" ht="15.5" x14ac:dyDescent="0.35">
      <c r="F24" s="86" t="s">
        <v>84</v>
      </c>
      <c r="G24" s="86" t="s">
        <v>48</v>
      </c>
      <c r="H24" s="86">
        <v>8816</v>
      </c>
    </row>
    <row r="25" spans="6:11" ht="15.5" x14ac:dyDescent="0.35">
      <c r="F25" s="86" t="s">
        <v>70</v>
      </c>
      <c r="G25" s="86" t="s">
        <v>71</v>
      </c>
      <c r="H25" s="86">
        <v>3331</v>
      </c>
    </row>
    <row r="26" spans="6:11" ht="15.5" x14ac:dyDescent="0.35">
      <c r="F26" s="86" t="s">
        <v>77</v>
      </c>
      <c r="G26" s="86" t="s">
        <v>49</v>
      </c>
      <c r="H26" s="86">
        <v>3335</v>
      </c>
    </row>
    <row r="27" spans="6:11" ht="15.5" x14ac:dyDescent="0.35">
      <c r="F27" s="86" t="s">
        <v>82</v>
      </c>
      <c r="G27" s="86" t="s">
        <v>83</v>
      </c>
      <c r="H27" s="86">
        <v>2608</v>
      </c>
    </row>
    <row r="28" spans="6:11" ht="15.5" x14ac:dyDescent="0.35">
      <c r="F28" s="86" t="s">
        <v>60</v>
      </c>
      <c r="G28" s="86" t="s">
        <v>61</v>
      </c>
      <c r="H28" s="86">
        <v>4122</v>
      </c>
    </row>
    <row r="29" spans="6:11" ht="15.5" x14ac:dyDescent="0.35">
      <c r="F29" s="86" t="s">
        <v>50</v>
      </c>
      <c r="G29" s="86" t="s">
        <v>51</v>
      </c>
      <c r="H29" s="86">
        <v>1022</v>
      </c>
    </row>
    <row r="30" spans="6:11" ht="15.5" x14ac:dyDescent="0.35">
      <c r="F30" s="86" t="s">
        <v>64</v>
      </c>
      <c r="G30" s="86" t="s">
        <v>65</v>
      </c>
      <c r="H30" s="86">
        <v>7681</v>
      </c>
    </row>
    <row r="31" spans="6:11" ht="15.5" x14ac:dyDescent="0.35">
      <c r="F31" s="86" t="s">
        <v>75</v>
      </c>
      <c r="G31" s="86" t="s">
        <v>76</v>
      </c>
      <c r="H31" s="86">
        <v>8567</v>
      </c>
    </row>
    <row r="32" spans="6:11" ht="15.5" x14ac:dyDescent="0.35">
      <c r="F32" s="86" t="s">
        <v>79</v>
      </c>
      <c r="G32" s="86" t="s">
        <v>56</v>
      </c>
      <c r="H32" s="86">
        <v>3507</v>
      </c>
    </row>
    <row r="33" spans="6:8" ht="15.5" x14ac:dyDescent="0.35">
      <c r="F33" s="86" t="s">
        <v>57</v>
      </c>
      <c r="G33" s="86" t="s">
        <v>54</v>
      </c>
      <c r="H33" s="86">
        <v>7326</v>
      </c>
    </row>
    <row r="34" spans="6:8" ht="15.5" x14ac:dyDescent="0.35">
      <c r="F34" s="86" t="s">
        <v>62</v>
      </c>
      <c r="G34" s="86" t="s">
        <v>63</v>
      </c>
      <c r="H34" s="86">
        <v>4643</v>
      </c>
    </row>
    <row r="35" spans="6:8" ht="15.5" x14ac:dyDescent="0.35">
      <c r="F35" s="86" t="s">
        <v>58</v>
      </c>
      <c r="G35" s="86" t="s">
        <v>59</v>
      </c>
      <c r="H35" s="86">
        <v>8304</v>
      </c>
    </row>
    <row r="36" spans="6:8" ht="15.5" x14ac:dyDescent="0.35">
      <c r="F36" s="86" t="s">
        <v>47</v>
      </c>
      <c r="G36" s="86" t="s">
        <v>40</v>
      </c>
      <c r="H36" s="86">
        <v>7676</v>
      </c>
    </row>
    <row r="37" spans="6:8" ht="15.5" x14ac:dyDescent="0.35">
      <c r="F37" s="86" t="s">
        <v>43</v>
      </c>
      <c r="G37" s="86" t="s">
        <v>41</v>
      </c>
      <c r="H37" s="86">
        <v>4938</v>
      </c>
    </row>
    <row r="38" spans="6:8" ht="15.5" x14ac:dyDescent="0.35">
      <c r="F38" s="86" t="s">
        <v>52</v>
      </c>
      <c r="G38" s="86" t="s">
        <v>53</v>
      </c>
      <c r="H38" s="86">
        <v>1701</v>
      </c>
    </row>
  </sheetData>
  <mergeCells count="4">
    <mergeCell ref="C3:K3"/>
    <mergeCell ref="C6:K6"/>
    <mergeCell ref="C11:K11"/>
    <mergeCell ref="C8:K8"/>
  </mergeCells>
  <dataValidations count="1">
    <dataValidation type="list" allowBlank="1" showInputMessage="1" showErrorMessage="1" sqref="K15" xr:uid="{E16AA9A5-3CD8-4C91-8384-AFFE09CFC41F}">
      <formula1>$E$47:$E$69</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sheetPr>
  <dimension ref="B3:M34"/>
  <sheetViews>
    <sheetView zoomScale="130" zoomScaleNormal="130" workbookViewId="0">
      <selection activeCell="B3" sqref="B3:K5"/>
    </sheetView>
  </sheetViews>
  <sheetFormatPr defaultColWidth="8.7265625" defaultRowHeight="14.5" x14ac:dyDescent="0.35"/>
  <cols>
    <col min="2" max="2" width="18.7265625" customWidth="1"/>
    <col min="3" max="3" width="15.81640625" customWidth="1"/>
    <col min="4" max="12" width="11.26953125" customWidth="1"/>
  </cols>
  <sheetData>
    <row r="3" spans="2:13" ht="55.5" customHeight="1" x14ac:dyDescent="0.35">
      <c r="B3" s="94" t="s">
        <v>189</v>
      </c>
      <c r="C3" s="106" t="s">
        <v>551</v>
      </c>
      <c r="D3" s="106"/>
      <c r="E3" s="106"/>
      <c r="F3" s="106"/>
      <c r="G3" s="106"/>
      <c r="H3" s="106"/>
      <c r="I3" s="106"/>
      <c r="J3" s="106"/>
      <c r="K3" s="106"/>
    </row>
    <row r="4" spans="2:13" ht="18.5" x14ac:dyDescent="0.45">
      <c r="B4" s="60"/>
      <c r="J4" s="40"/>
      <c r="K4" s="39"/>
    </row>
    <row r="5" spans="2:13" ht="25.5" customHeight="1" x14ac:dyDescent="0.35">
      <c r="B5" s="94" t="s">
        <v>553</v>
      </c>
      <c r="C5" s="106" t="s">
        <v>552</v>
      </c>
      <c r="D5" s="106"/>
      <c r="E5" s="106"/>
      <c r="F5" s="106"/>
      <c r="G5" s="106"/>
      <c r="H5" s="106"/>
      <c r="I5" s="106"/>
      <c r="J5" s="106"/>
      <c r="K5" s="106"/>
    </row>
    <row r="8" spans="2:13" x14ac:dyDescent="0.35">
      <c r="C8" s="34" t="s">
        <v>37</v>
      </c>
      <c r="D8" s="34" t="s">
        <v>93</v>
      </c>
      <c r="E8" s="34" t="s">
        <v>95</v>
      </c>
      <c r="F8" s="34" t="s">
        <v>97</v>
      </c>
      <c r="G8" s="34" t="s">
        <v>92</v>
      </c>
      <c r="H8" s="34" t="s">
        <v>99</v>
      </c>
      <c r="I8" s="34" t="s">
        <v>91</v>
      </c>
      <c r="J8" s="34" t="s">
        <v>96</v>
      </c>
      <c r="K8" s="34" t="s">
        <v>94</v>
      </c>
      <c r="L8" s="34" t="s">
        <v>90</v>
      </c>
      <c r="M8" s="34" t="s">
        <v>98</v>
      </c>
    </row>
    <row r="9" spans="2:13" x14ac:dyDescent="0.35">
      <c r="C9" s="90" t="s">
        <v>89</v>
      </c>
      <c r="D9" s="91">
        <v>50</v>
      </c>
      <c r="E9" s="91">
        <v>73</v>
      </c>
      <c r="F9" s="91">
        <v>48</v>
      </c>
      <c r="G9" s="91">
        <v>55</v>
      </c>
      <c r="H9" s="91">
        <v>48</v>
      </c>
      <c r="I9" s="91">
        <v>73</v>
      </c>
      <c r="J9" s="91">
        <v>82</v>
      </c>
      <c r="K9" s="91">
        <v>12</v>
      </c>
      <c r="L9" s="91">
        <v>41</v>
      </c>
      <c r="M9" s="91">
        <v>39</v>
      </c>
    </row>
    <row r="11" spans="2:13" x14ac:dyDescent="0.35">
      <c r="C11" s="24" t="s">
        <v>100</v>
      </c>
      <c r="D11" s="87" t="s">
        <v>92</v>
      </c>
    </row>
    <row r="12" spans="2:13" x14ac:dyDescent="0.35">
      <c r="C12" s="24" t="s">
        <v>101</v>
      </c>
      <c r="D12" s="87">
        <f>HLOOKUP(D11,D8:M9,2,FALSE)</f>
        <v>55</v>
      </c>
    </row>
    <row r="13" spans="2:13" x14ac:dyDescent="0.35">
      <c r="C13" s="24"/>
    </row>
    <row r="14" spans="2:13" x14ac:dyDescent="0.35">
      <c r="C14" s="24"/>
    </row>
    <row r="15" spans="2:13" ht="56" customHeight="1" x14ac:dyDescent="0.35">
      <c r="B15" s="94" t="s">
        <v>554</v>
      </c>
      <c r="C15" s="106" t="s">
        <v>555</v>
      </c>
      <c r="D15" s="106"/>
      <c r="E15" s="106"/>
      <c r="F15" s="106"/>
      <c r="G15" s="106"/>
      <c r="H15" s="106"/>
      <c r="I15" s="106"/>
      <c r="J15" s="106"/>
      <c r="K15" s="106"/>
    </row>
    <row r="16" spans="2:13" x14ac:dyDescent="0.35">
      <c r="C16" s="24"/>
      <c r="D16" s="25"/>
    </row>
    <row r="18" spans="3:13" x14ac:dyDescent="0.35">
      <c r="C18" s="24" t="s">
        <v>547</v>
      </c>
      <c r="D18" s="87">
        <f>INDEX(D8:M9,2,MATCH(D11,D8:M8,FALSE))</f>
        <v>55</v>
      </c>
    </row>
    <row r="19" spans="3:13" x14ac:dyDescent="0.35">
      <c r="C19" s="24" t="s">
        <v>548</v>
      </c>
      <c r="D19" s="87" t="e">
        <f>LOOKUP(D11,D8:M8,D9:M9)</f>
        <v>#N/A</v>
      </c>
      <c r="E19" s="89" t="s">
        <v>549</v>
      </c>
    </row>
    <row r="22" spans="3:13" x14ac:dyDescent="0.35">
      <c r="C22" s="34" t="s">
        <v>37</v>
      </c>
      <c r="D22" s="34" t="s">
        <v>90</v>
      </c>
      <c r="E22" s="34" t="s">
        <v>92</v>
      </c>
      <c r="F22" s="34" t="s">
        <v>93</v>
      </c>
      <c r="G22" s="34" t="s">
        <v>94</v>
      </c>
      <c r="H22" s="34" t="s">
        <v>96</v>
      </c>
      <c r="I22" s="34" t="s">
        <v>97</v>
      </c>
      <c r="J22" s="34" t="s">
        <v>98</v>
      </c>
      <c r="K22" s="34" t="s">
        <v>99</v>
      </c>
      <c r="L22" s="34" t="s">
        <v>91</v>
      </c>
      <c r="M22" s="34" t="s">
        <v>95</v>
      </c>
    </row>
    <row r="23" spans="3:13" x14ac:dyDescent="0.35">
      <c r="C23" s="90" t="s">
        <v>89</v>
      </c>
      <c r="D23" s="91">
        <v>41</v>
      </c>
      <c r="E23" s="91">
        <v>55</v>
      </c>
      <c r="F23" s="91">
        <v>50</v>
      </c>
      <c r="G23" s="91">
        <v>12</v>
      </c>
      <c r="H23" s="91">
        <v>82</v>
      </c>
      <c r="I23" s="91">
        <v>48</v>
      </c>
      <c r="J23" s="91">
        <v>39</v>
      </c>
      <c r="K23" s="91">
        <v>48</v>
      </c>
      <c r="L23" s="91">
        <v>73</v>
      </c>
      <c r="M23" s="91">
        <v>73</v>
      </c>
    </row>
    <row r="25" spans="3:13" x14ac:dyDescent="0.35">
      <c r="C25" s="24" t="s">
        <v>548</v>
      </c>
      <c r="D25" s="87">
        <f>LOOKUP(D11,D22:M22,D23:M23)</f>
        <v>55</v>
      </c>
      <c r="E25" s="89" t="s">
        <v>550</v>
      </c>
      <c r="G25" s="23"/>
      <c r="H25" s="25"/>
    </row>
    <row r="26" spans="3:13" x14ac:dyDescent="0.35">
      <c r="G26" s="23"/>
      <c r="H26" s="25"/>
    </row>
    <row r="27" spans="3:13" x14ac:dyDescent="0.35">
      <c r="G27" s="23"/>
      <c r="H27" s="25"/>
    </row>
    <row r="28" spans="3:13" x14ac:dyDescent="0.35">
      <c r="G28" s="23"/>
      <c r="H28" s="25"/>
    </row>
    <row r="29" spans="3:13" x14ac:dyDescent="0.35">
      <c r="G29" s="23"/>
      <c r="H29" s="25"/>
    </row>
    <row r="30" spans="3:13" x14ac:dyDescent="0.35">
      <c r="G30" s="23"/>
      <c r="H30" s="25"/>
    </row>
    <row r="31" spans="3:13" x14ac:dyDescent="0.35">
      <c r="G31" s="23"/>
      <c r="H31" s="25"/>
    </row>
    <row r="32" spans="3:13" x14ac:dyDescent="0.35">
      <c r="G32" s="23"/>
      <c r="H32" s="25"/>
    </row>
    <row r="33" spans="7:8" x14ac:dyDescent="0.35">
      <c r="G33" s="23"/>
      <c r="H33" s="25"/>
    </row>
    <row r="34" spans="7:8" x14ac:dyDescent="0.35">
      <c r="G34" s="23"/>
      <c r="H34" s="25"/>
    </row>
  </sheetData>
  <sortState xmlns:xlrd2="http://schemas.microsoft.com/office/spreadsheetml/2017/richdata2" ref="G25:H34">
    <sortCondition ref="G25:G34"/>
  </sortState>
  <mergeCells count="3">
    <mergeCell ref="C3:K3"/>
    <mergeCell ref="C5:K5"/>
    <mergeCell ref="C15:K15"/>
  </mergeCells>
  <dataValidations count="1">
    <dataValidation type="list" allowBlank="1" showInputMessage="1" showErrorMessage="1" sqref="D11" xr:uid="{00000000-0002-0000-0200-000000000000}">
      <formula1>$D$8:$M$8</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9"/>
  </sheetPr>
  <dimension ref="B2:K41"/>
  <sheetViews>
    <sheetView zoomScale="130" zoomScaleNormal="130" workbookViewId="0">
      <selection activeCell="D21" sqref="D21"/>
    </sheetView>
  </sheetViews>
  <sheetFormatPr defaultColWidth="8.7265625" defaultRowHeight="14.5" x14ac:dyDescent="0.35"/>
  <cols>
    <col min="1" max="1" width="4.453125" customWidth="1"/>
    <col min="2" max="2" width="33.1796875" bestFit="1" customWidth="1"/>
    <col min="3" max="3" width="20.1796875" bestFit="1" customWidth="1"/>
    <col min="4" max="4" width="24.81640625" bestFit="1" customWidth="1"/>
    <col min="5" max="5" width="6.90625" customWidth="1"/>
    <col min="6" max="6" width="3.54296875" customWidth="1"/>
    <col min="7" max="7" width="20.1796875" bestFit="1" customWidth="1"/>
    <col min="8" max="8" width="14.26953125" bestFit="1" customWidth="1"/>
  </cols>
  <sheetData>
    <row r="2" spans="2:11" ht="23.5" x14ac:dyDescent="0.55000000000000004">
      <c r="B2" s="51" t="s">
        <v>566</v>
      </c>
      <c r="C2" s="108" t="s">
        <v>567</v>
      </c>
      <c r="D2" s="108"/>
      <c r="E2" s="108"/>
      <c r="F2" s="108"/>
      <c r="G2" s="108"/>
      <c r="H2" s="108"/>
      <c r="I2" s="108"/>
      <c r="J2" s="108"/>
      <c r="K2" s="108"/>
    </row>
    <row r="3" spans="2:11" ht="23.5" x14ac:dyDescent="0.55000000000000004">
      <c r="B3" s="51"/>
    </row>
    <row r="5" spans="2:11" ht="145" customHeight="1" x14ac:dyDescent="0.35">
      <c r="B5" s="70" t="s">
        <v>557</v>
      </c>
      <c r="C5" s="106" t="s">
        <v>572</v>
      </c>
      <c r="D5" s="106"/>
      <c r="E5" s="106"/>
      <c r="F5" s="106"/>
      <c r="G5" s="106"/>
      <c r="H5" s="106"/>
      <c r="I5" s="106"/>
      <c r="J5" s="106"/>
      <c r="K5" s="106"/>
    </row>
    <row r="11" spans="2:11" ht="43.5" customHeight="1" x14ac:dyDescent="0.35">
      <c r="B11" s="99" t="s">
        <v>189</v>
      </c>
      <c r="C11" s="106" t="s">
        <v>564</v>
      </c>
      <c r="D11" s="106"/>
      <c r="E11" s="106"/>
      <c r="F11" s="106"/>
      <c r="G11" s="106"/>
      <c r="H11" s="106"/>
      <c r="I11" s="106"/>
      <c r="J11" s="106"/>
      <c r="K11" s="106"/>
    </row>
    <row r="12" spans="2:11" ht="22.5" x14ac:dyDescent="0.45">
      <c r="B12" s="100"/>
      <c r="J12" s="40"/>
      <c r="K12" s="39"/>
    </row>
    <row r="13" spans="2:11" ht="51" customHeight="1" x14ac:dyDescent="0.35">
      <c r="B13" s="99" t="s">
        <v>563</v>
      </c>
      <c r="C13" s="106" t="s">
        <v>565</v>
      </c>
      <c r="D13" s="106"/>
      <c r="E13" s="106"/>
      <c r="F13" s="106"/>
      <c r="G13" s="106"/>
      <c r="H13" s="106"/>
      <c r="I13" s="106"/>
      <c r="J13" s="106"/>
      <c r="K13" s="106"/>
    </row>
    <row r="19" spans="2:8" x14ac:dyDescent="0.35">
      <c r="B19" s="2" t="s">
        <v>148</v>
      </c>
      <c r="C19" s="2" t="s">
        <v>149</v>
      </c>
      <c r="D19" s="2" t="s">
        <v>3</v>
      </c>
      <c r="E19" s="97"/>
      <c r="G19" s="2" t="s">
        <v>124</v>
      </c>
      <c r="H19" s="2" t="s">
        <v>125</v>
      </c>
    </row>
    <row r="20" spans="2:8" x14ac:dyDescent="0.35">
      <c r="B20" t="s">
        <v>129</v>
      </c>
      <c r="C20" t="s">
        <v>105</v>
      </c>
      <c r="D20" s="21" t="str">
        <f>IF(ISNA(VLOOKUP(C20,$G$20:$H$28,2,FALSE)),"",VLOOKUP(C20,$G$20:$H$28,2,FALSE))</f>
        <v/>
      </c>
      <c r="E20" s="21"/>
      <c r="G20" t="s">
        <v>123</v>
      </c>
      <c r="H20" s="21">
        <v>33247178</v>
      </c>
    </row>
    <row r="21" spans="2:8" x14ac:dyDescent="0.35">
      <c r="B21" t="s">
        <v>146</v>
      </c>
      <c r="C21" t="s">
        <v>106</v>
      </c>
      <c r="D21" s="21">
        <f t="shared" ref="D21:D41" si="0">IFERROR(VLOOKUP(C21,$G$20:$H$28,2,FALSE),"")</f>
        <v>62157026</v>
      </c>
      <c r="E21" s="21"/>
      <c r="G21" t="s">
        <v>112</v>
      </c>
      <c r="H21" s="21">
        <v>45302040</v>
      </c>
    </row>
    <row r="22" spans="2:8" x14ac:dyDescent="0.35">
      <c r="B22" t="s">
        <v>130</v>
      </c>
      <c r="C22" t="s">
        <v>107</v>
      </c>
      <c r="D22" s="21" t="str">
        <f t="shared" si="0"/>
        <v/>
      </c>
      <c r="E22" s="21"/>
      <c r="G22" t="s">
        <v>109</v>
      </c>
      <c r="H22" s="21">
        <v>51744999</v>
      </c>
    </row>
    <row r="23" spans="2:8" x14ac:dyDescent="0.35">
      <c r="B23" t="s">
        <v>131</v>
      </c>
      <c r="C23" t="s">
        <v>108</v>
      </c>
      <c r="D23" s="21" t="str">
        <f t="shared" si="0"/>
        <v/>
      </c>
      <c r="E23" s="21"/>
      <c r="G23" t="s">
        <v>106</v>
      </c>
      <c r="H23" s="21">
        <v>62157026</v>
      </c>
    </row>
    <row r="24" spans="2:8" x14ac:dyDescent="0.35">
      <c r="B24" t="s">
        <v>133</v>
      </c>
      <c r="C24" t="s">
        <v>110</v>
      </c>
      <c r="D24" s="21" t="str">
        <f t="shared" si="0"/>
        <v/>
      </c>
      <c r="E24" s="21"/>
      <c r="G24" t="s">
        <v>104</v>
      </c>
      <c r="H24" s="21">
        <v>68970486</v>
      </c>
    </row>
    <row r="25" spans="2:8" x14ac:dyDescent="0.35">
      <c r="B25" t="s">
        <v>138</v>
      </c>
      <c r="C25" t="s">
        <v>116</v>
      </c>
      <c r="D25" s="21" t="str">
        <f t="shared" si="0"/>
        <v/>
      </c>
      <c r="E25" s="21"/>
      <c r="G25" t="s">
        <v>118</v>
      </c>
      <c r="H25" s="21">
        <v>36615404</v>
      </c>
    </row>
    <row r="26" spans="2:8" x14ac:dyDescent="0.35">
      <c r="B26" t="s">
        <v>137</v>
      </c>
      <c r="C26" t="s">
        <v>115</v>
      </c>
      <c r="D26" s="21">
        <f t="shared" si="0"/>
        <v>40266501</v>
      </c>
      <c r="E26" s="21"/>
      <c r="G26" t="s">
        <v>120</v>
      </c>
      <c r="H26" s="21">
        <v>35212678</v>
      </c>
    </row>
    <row r="27" spans="2:8" x14ac:dyDescent="0.35">
      <c r="B27" t="s">
        <v>128</v>
      </c>
      <c r="C27" t="s">
        <v>104</v>
      </c>
      <c r="D27" s="21">
        <f t="shared" si="0"/>
        <v>68970486</v>
      </c>
      <c r="E27" s="21"/>
      <c r="G27" t="s">
        <v>115</v>
      </c>
      <c r="H27" s="21">
        <v>40266501</v>
      </c>
    </row>
    <row r="28" spans="2:8" x14ac:dyDescent="0.35">
      <c r="B28" t="s">
        <v>147</v>
      </c>
      <c r="C28" t="s">
        <v>111</v>
      </c>
      <c r="D28" s="21" t="str">
        <f t="shared" si="0"/>
        <v/>
      </c>
      <c r="E28" s="21"/>
      <c r="G28" t="s">
        <v>119</v>
      </c>
      <c r="H28" s="21">
        <v>36325782</v>
      </c>
    </row>
    <row r="29" spans="2:8" x14ac:dyDescent="0.35">
      <c r="B29" t="s">
        <v>145</v>
      </c>
      <c r="C29" t="s">
        <v>123</v>
      </c>
      <c r="D29" s="21">
        <f t="shared" si="0"/>
        <v>33247178</v>
      </c>
      <c r="E29" s="21"/>
      <c r="H29" s="21"/>
    </row>
    <row r="30" spans="2:8" x14ac:dyDescent="0.35">
      <c r="B30" t="s">
        <v>135</v>
      </c>
      <c r="C30" t="s">
        <v>113</v>
      </c>
      <c r="D30" s="21" t="str">
        <f t="shared" si="0"/>
        <v/>
      </c>
      <c r="E30" s="21"/>
      <c r="H30" s="21"/>
    </row>
    <row r="31" spans="2:8" x14ac:dyDescent="0.35">
      <c r="B31" t="s">
        <v>136</v>
      </c>
      <c r="C31" t="s">
        <v>114</v>
      </c>
      <c r="D31" s="21" t="str">
        <f t="shared" si="0"/>
        <v/>
      </c>
      <c r="E31" s="21"/>
      <c r="H31" s="21"/>
    </row>
    <row r="32" spans="2:8" x14ac:dyDescent="0.35">
      <c r="B32" t="s">
        <v>134</v>
      </c>
      <c r="C32" t="s">
        <v>112</v>
      </c>
      <c r="D32" s="21">
        <f t="shared" si="0"/>
        <v>45302040</v>
      </c>
      <c r="E32" s="21"/>
      <c r="H32" s="21"/>
    </row>
    <row r="33" spans="2:8" x14ac:dyDescent="0.35">
      <c r="B33" t="s">
        <v>132</v>
      </c>
      <c r="C33" t="s">
        <v>109</v>
      </c>
      <c r="D33" s="21">
        <f t="shared" si="0"/>
        <v>51744999</v>
      </c>
      <c r="E33" s="21"/>
      <c r="H33" s="21"/>
    </row>
    <row r="34" spans="2:8" x14ac:dyDescent="0.35">
      <c r="B34" t="s">
        <v>142</v>
      </c>
      <c r="C34" t="s">
        <v>120</v>
      </c>
      <c r="D34" s="21">
        <f t="shared" si="0"/>
        <v>35212678</v>
      </c>
      <c r="E34" s="21"/>
      <c r="H34" s="21"/>
    </row>
    <row r="35" spans="2:8" x14ac:dyDescent="0.35">
      <c r="B35" t="s">
        <v>139</v>
      </c>
      <c r="C35" t="s">
        <v>117</v>
      </c>
      <c r="D35" s="21" t="str">
        <f t="shared" si="0"/>
        <v/>
      </c>
      <c r="E35" s="21"/>
      <c r="H35" s="21"/>
    </row>
    <row r="36" spans="2:8" x14ac:dyDescent="0.35">
      <c r="B36" t="s">
        <v>126</v>
      </c>
      <c r="C36" t="s">
        <v>102</v>
      </c>
      <c r="D36" s="21" t="str">
        <f t="shared" si="0"/>
        <v/>
      </c>
      <c r="E36" s="21"/>
      <c r="H36" s="21"/>
    </row>
    <row r="37" spans="2:8" x14ac:dyDescent="0.35">
      <c r="B37" t="s">
        <v>143</v>
      </c>
      <c r="C37" t="s">
        <v>121</v>
      </c>
      <c r="D37" s="21" t="str">
        <f t="shared" si="0"/>
        <v/>
      </c>
      <c r="E37" s="21"/>
      <c r="H37" s="21"/>
    </row>
    <row r="38" spans="2:8" x14ac:dyDescent="0.35">
      <c r="B38" t="s">
        <v>141</v>
      </c>
      <c r="C38" t="s">
        <v>119</v>
      </c>
      <c r="D38" s="21">
        <f t="shared" si="0"/>
        <v>36325782</v>
      </c>
      <c r="E38" s="21"/>
      <c r="H38" s="21"/>
    </row>
    <row r="39" spans="2:8" x14ac:dyDescent="0.35">
      <c r="B39" t="s">
        <v>127</v>
      </c>
      <c r="C39" t="s">
        <v>103</v>
      </c>
      <c r="D39" s="21" t="str">
        <f t="shared" si="0"/>
        <v/>
      </c>
      <c r="E39" s="21"/>
      <c r="H39" s="21"/>
    </row>
    <row r="40" spans="2:8" x14ac:dyDescent="0.35">
      <c r="B40" t="s">
        <v>144</v>
      </c>
      <c r="C40" t="s">
        <v>122</v>
      </c>
      <c r="D40" s="21" t="str">
        <f t="shared" si="0"/>
        <v/>
      </c>
      <c r="E40" s="21"/>
      <c r="H40" s="21"/>
    </row>
    <row r="41" spans="2:8" x14ac:dyDescent="0.35">
      <c r="B41" t="s">
        <v>140</v>
      </c>
      <c r="C41" t="s">
        <v>118</v>
      </c>
      <c r="D41" s="21">
        <f t="shared" si="0"/>
        <v>36615404</v>
      </c>
      <c r="E41" s="21"/>
      <c r="H41" s="21"/>
    </row>
  </sheetData>
  <sortState xmlns:xlrd2="http://schemas.microsoft.com/office/spreadsheetml/2017/richdata2" ref="B20:D41">
    <sortCondition ref="B20:B41"/>
  </sortState>
  <mergeCells count="4">
    <mergeCell ref="C11:K11"/>
    <mergeCell ref="C13:K13"/>
    <mergeCell ref="C2:K2"/>
    <mergeCell ref="C5:K5"/>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sheetPr>
  <dimension ref="B2:K29"/>
  <sheetViews>
    <sheetView zoomScale="145" zoomScaleNormal="145" workbookViewId="0">
      <selection activeCell="B5" sqref="B5:K7"/>
    </sheetView>
  </sheetViews>
  <sheetFormatPr defaultColWidth="8.7265625" defaultRowHeight="14.5" x14ac:dyDescent="0.35"/>
  <cols>
    <col min="2" max="2" width="26.6328125" customWidth="1"/>
    <col min="3" max="3" width="11.81640625" bestFit="1" customWidth="1"/>
    <col min="4" max="4" width="12.453125" bestFit="1" customWidth="1"/>
    <col min="5" max="5" width="11" bestFit="1" customWidth="1"/>
  </cols>
  <sheetData>
    <row r="2" spans="2:11" ht="130" customHeight="1" x14ac:dyDescent="0.35">
      <c r="B2" s="70" t="s">
        <v>568</v>
      </c>
      <c r="C2" s="109" t="s">
        <v>569</v>
      </c>
      <c r="D2" s="109"/>
      <c r="E2" s="109"/>
      <c r="F2" s="109"/>
      <c r="G2" s="109"/>
      <c r="H2" s="109"/>
      <c r="I2" s="109"/>
      <c r="J2" s="109"/>
      <c r="K2" s="109"/>
    </row>
    <row r="5" spans="2:11" ht="116" customHeight="1" x14ac:dyDescent="0.35">
      <c r="B5" s="98" t="s">
        <v>570</v>
      </c>
      <c r="C5" s="106" t="s">
        <v>571</v>
      </c>
      <c r="D5" s="106"/>
      <c r="E5" s="106"/>
      <c r="F5" s="106"/>
      <c r="G5" s="106"/>
      <c r="H5" s="106"/>
      <c r="I5" s="106"/>
      <c r="J5" s="106"/>
      <c r="K5" s="106"/>
    </row>
    <row r="7" spans="2:11" ht="154.5" customHeight="1" x14ac:dyDescent="0.35">
      <c r="B7" s="98" t="s">
        <v>190</v>
      </c>
      <c r="C7" s="109" t="s">
        <v>573</v>
      </c>
      <c r="D7" s="109"/>
      <c r="E7" s="109"/>
      <c r="F7" s="109"/>
      <c r="G7" s="109"/>
      <c r="H7" s="109"/>
      <c r="I7" s="109"/>
      <c r="J7" s="109"/>
      <c r="K7" s="109"/>
    </row>
    <row r="12" spans="2:11" x14ac:dyDescent="0.35">
      <c r="B12" s="2" t="s">
        <v>151</v>
      </c>
      <c r="C12" s="2" t="s">
        <v>150</v>
      </c>
      <c r="D12" s="2" t="s">
        <v>152</v>
      </c>
      <c r="E12" s="2" t="s">
        <v>153</v>
      </c>
    </row>
    <row r="13" spans="2:11" x14ac:dyDescent="0.35">
      <c r="B13" s="26">
        <v>0</v>
      </c>
      <c r="C13" s="26">
        <v>325</v>
      </c>
      <c r="D13" s="26">
        <v>0</v>
      </c>
      <c r="E13" s="27">
        <v>0</v>
      </c>
    </row>
    <row r="14" spans="2:11" x14ac:dyDescent="0.35">
      <c r="B14" s="26">
        <v>325</v>
      </c>
      <c r="C14" s="26">
        <v>1023</v>
      </c>
      <c r="D14" s="26">
        <v>0</v>
      </c>
      <c r="E14" s="27">
        <v>0.1</v>
      </c>
    </row>
    <row r="15" spans="2:11" x14ac:dyDescent="0.35">
      <c r="B15" s="26">
        <v>1023</v>
      </c>
      <c r="C15" s="26">
        <v>3163</v>
      </c>
      <c r="D15" s="3">
        <v>69.8</v>
      </c>
      <c r="E15" s="27">
        <v>0.15</v>
      </c>
    </row>
    <row r="16" spans="2:11" x14ac:dyDescent="0.35">
      <c r="B16" s="26">
        <v>3163</v>
      </c>
      <c r="C16" s="26">
        <v>6050</v>
      </c>
      <c r="D16" s="3">
        <v>390.8</v>
      </c>
      <c r="E16" s="27">
        <v>0.25</v>
      </c>
    </row>
    <row r="17" spans="2:5" x14ac:dyDescent="0.35">
      <c r="B17" s="26">
        <v>6050</v>
      </c>
      <c r="C17" s="26">
        <v>9050</v>
      </c>
      <c r="D17" s="3">
        <v>1112.56</v>
      </c>
      <c r="E17" s="27">
        <v>0.28000000000000003</v>
      </c>
    </row>
    <row r="18" spans="2:5" x14ac:dyDescent="0.35">
      <c r="B18" s="26">
        <v>9050</v>
      </c>
      <c r="C18" s="26">
        <v>15906</v>
      </c>
      <c r="D18" s="3">
        <v>195.56</v>
      </c>
      <c r="E18" s="27">
        <v>0.33</v>
      </c>
    </row>
    <row r="19" spans="2:5" x14ac:dyDescent="0.35">
      <c r="B19" s="26">
        <v>15906</v>
      </c>
      <c r="C19" s="26">
        <v>17925</v>
      </c>
      <c r="D19" s="3">
        <v>4215.03</v>
      </c>
      <c r="E19" s="27">
        <v>0.35</v>
      </c>
    </row>
    <row r="20" spans="2:5" x14ac:dyDescent="0.35">
      <c r="B20" s="26">
        <v>17925</v>
      </c>
      <c r="C20" s="26"/>
      <c r="D20" s="3">
        <v>4921.68</v>
      </c>
      <c r="E20" s="27">
        <v>0.39600000000000002</v>
      </c>
    </row>
    <row r="22" spans="2:5" x14ac:dyDescent="0.35">
      <c r="C22" s="22" t="s">
        <v>154</v>
      </c>
      <c r="D22" s="3">
        <f>ROUND(60000/26,2)</f>
        <v>2307.69</v>
      </c>
    </row>
    <row r="23" spans="2:5" x14ac:dyDescent="0.35">
      <c r="C23" s="22" t="s">
        <v>157</v>
      </c>
      <c r="D23" s="26">
        <v>2</v>
      </c>
    </row>
    <row r="24" spans="2:5" x14ac:dyDescent="0.35">
      <c r="C24" s="22" t="s">
        <v>155</v>
      </c>
      <c r="D24" s="3">
        <f>D23*151.9</f>
        <v>303.8</v>
      </c>
    </row>
    <row r="25" spans="2:5" x14ac:dyDescent="0.35">
      <c r="C25" s="22" t="s">
        <v>156</v>
      </c>
      <c r="D25" s="3">
        <f>D22-D24</f>
        <v>2003.89</v>
      </c>
    </row>
    <row r="26" spans="2:5" x14ac:dyDescent="0.35">
      <c r="C26" s="22" t="s">
        <v>158</v>
      </c>
      <c r="D26" s="102">
        <f>VLOOKUP(D25,B13:E20,3,TRUE)+(D25-VLOOKUP(D25,B13:E20,1,TRUE))*VLOOKUP(D25,B13:E20,4,TRUE)</f>
        <v>216.93349999999998</v>
      </c>
    </row>
    <row r="28" spans="2:5" x14ac:dyDescent="0.35">
      <c r="D28" s="3"/>
    </row>
    <row r="29" spans="2:5" x14ac:dyDescent="0.35">
      <c r="D29" s="3"/>
    </row>
  </sheetData>
  <mergeCells count="3">
    <mergeCell ref="C2:K2"/>
    <mergeCell ref="C5:K5"/>
    <mergeCell ref="C7:K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sheetPr>
  <dimension ref="B2:K27"/>
  <sheetViews>
    <sheetView zoomScale="160" zoomScaleNormal="160" workbookViewId="0">
      <selection activeCell="H15" sqref="H15"/>
    </sheetView>
  </sheetViews>
  <sheetFormatPr defaultColWidth="8.7265625" defaultRowHeight="14.5" x14ac:dyDescent="0.35"/>
  <cols>
    <col min="1" max="1" width="15.54296875" customWidth="1"/>
    <col min="2" max="2" width="26.90625" customWidth="1"/>
    <col min="3" max="3" width="11.81640625" bestFit="1" customWidth="1"/>
    <col min="4" max="4" width="12.453125" bestFit="1" customWidth="1"/>
    <col min="5" max="5" width="11" bestFit="1" customWidth="1"/>
  </cols>
  <sheetData>
    <row r="2" spans="2:11" ht="61" customHeight="1" x14ac:dyDescent="0.35">
      <c r="B2" s="98" t="s">
        <v>570</v>
      </c>
      <c r="C2" s="106" t="s">
        <v>576</v>
      </c>
      <c r="D2" s="106"/>
      <c r="E2" s="106"/>
      <c r="F2" s="106"/>
      <c r="G2" s="106"/>
      <c r="H2" s="106"/>
      <c r="I2" s="106"/>
      <c r="J2" s="106"/>
      <c r="K2" s="106"/>
    </row>
    <row r="4" spans="2:11" ht="90.5" customHeight="1" x14ac:dyDescent="0.35">
      <c r="B4" s="98" t="s">
        <v>190</v>
      </c>
      <c r="C4" s="109" t="s">
        <v>577</v>
      </c>
      <c r="D4" s="109"/>
      <c r="E4" s="109"/>
      <c r="F4" s="109"/>
      <c r="G4" s="109"/>
      <c r="H4" s="109"/>
      <c r="I4" s="109"/>
      <c r="J4" s="109"/>
      <c r="K4" s="109"/>
    </row>
    <row r="10" spans="2:11" x14ac:dyDescent="0.35">
      <c r="B10" s="2" t="s">
        <v>151</v>
      </c>
      <c r="C10" s="2" t="s">
        <v>150</v>
      </c>
      <c r="D10" s="2" t="s">
        <v>152</v>
      </c>
      <c r="E10" s="2" t="s">
        <v>153</v>
      </c>
    </row>
    <row r="11" spans="2:11" x14ac:dyDescent="0.35">
      <c r="B11" s="26">
        <v>17925</v>
      </c>
      <c r="C11" s="26"/>
      <c r="D11" s="3">
        <v>4921.68</v>
      </c>
      <c r="E11" s="27">
        <v>0.39600000000000002</v>
      </c>
    </row>
    <row r="12" spans="2:11" x14ac:dyDescent="0.35">
      <c r="B12" s="26">
        <v>15906</v>
      </c>
      <c r="C12" s="26">
        <v>17925</v>
      </c>
      <c r="D12" s="3">
        <v>4215.03</v>
      </c>
      <c r="E12" s="27">
        <v>0.35</v>
      </c>
    </row>
    <row r="13" spans="2:11" x14ac:dyDescent="0.35">
      <c r="B13" s="26">
        <v>9050</v>
      </c>
      <c r="C13" s="26">
        <v>15906</v>
      </c>
      <c r="D13" s="3">
        <v>195.56</v>
      </c>
      <c r="E13" s="27">
        <v>0.33</v>
      </c>
    </row>
    <row r="14" spans="2:11" x14ac:dyDescent="0.35">
      <c r="B14" s="26">
        <v>6050</v>
      </c>
      <c r="C14" s="26">
        <v>9050</v>
      </c>
      <c r="D14" s="3">
        <v>1112.56</v>
      </c>
      <c r="E14" s="27">
        <v>0.28000000000000003</v>
      </c>
    </row>
    <row r="15" spans="2:11" x14ac:dyDescent="0.35">
      <c r="B15" s="26">
        <v>3163</v>
      </c>
      <c r="C15" s="26">
        <v>6050</v>
      </c>
      <c r="D15" s="3">
        <v>390.8</v>
      </c>
      <c r="E15" s="27">
        <v>0.25</v>
      </c>
    </row>
    <row r="16" spans="2:11" x14ac:dyDescent="0.35">
      <c r="B16" s="26">
        <v>1023</v>
      </c>
      <c r="C16" s="26">
        <v>3163</v>
      </c>
      <c r="D16" s="3">
        <v>69.8</v>
      </c>
      <c r="E16" s="27">
        <v>0.15</v>
      </c>
    </row>
    <row r="17" spans="2:5" x14ac:dyDescent="0.35">
      <c r="B17" s="26">
        <v>325</v>
      </c>
      <c r="C17" s="26">
        <v>1023</v>
      </c>
      <c r="D17" s="26">
        <v>0</v>
      </c>
      <c r="E17" s="27">
        <v>0.1</v>
      </c>
    </row>
    <row r="18" spans="2:5" x14ac:dyDescent="0.35">
      <c r="B18" s="26">
        <v>0</v>
      </c>
      <c r="C18" s="26">
        <v>325</v>
      </c>
      <c r="D18" s="26">
        <v>0</v>
      </c>
      <c r="E18" s="27">
        <v>0</v>
      </c>
    </row>
    <row r="20" spans="2:5" x14ac:dyDescent="0.35">
      <c r="C20" s="22" t="s">
        <v>154</v>
      </c>
      <c r="D20" s="3">
        <f>ROUND(60000/26,2)</f>
        <v>2307.69</v>
      </c>
    </row>
    <row r="21" spans="2:5" x14ac:dyDescent="0.35">
      <c r="C21" s="22" t="s">
        <v>157</v>
      </c>
      <c r="D21" s="26">
        <v>2</v>
      </c>
    </row>
    <row r="22" spans="2:5" x14ac:dyDescent="0.35">
      <c r="C22" s="22" t="s">
        <v>155</v>
      </c>
      <c r="D22" s="3">
        <f>D21*151.9</f>
        <v>303.8</v>
      </c>
    </row>
    <row r="23" spans="2:5" x14ac:dyDescent="0.35">
      <c r="C23" s="22" t="s">
        <v>156</v>
      </c>
      <c r="D23" s="3">
        <f>D20-D22</f>
        <v>2003.89</v>
      </c>
    </row>
    <row r="25" spans="2:5" x14ac:dyDescent="0.35">
      <c r="C25" s="22" t="s">
        <v>574</v>
      </c>
      <c r="D25" s="102" t="e">
        <f>VLOOKUP(D23,B11:E18,3,TRUE)+(D23-VLOOKUP(D23,B11:E18,1,TRUE))*VLOOKUP(D23,B11:E18,4,TRUE)</f>
        <v>#N/A</v>
      </c>
    </row>
    <row r="26" spans="2:5" x14ac:dyDescent="0.35">
      <c r="C26" s="22" t="s">
        <v>575</v>
      </c>
      <c r="D26" s="102" cm="1">
        <f t="array" ref="D26">INDEX(B11:E18,MATCH(D23,B11:B18,-1)+1,3)+(D23-INDEX(B11:E18,MATCH(D23,B11:B18,-1)+1,1))*INDEX(B11:E18,MATCH(D23,B11:B18,-1)+1,4)</f>
        <v>216.93349999999998</v>
      </c>
    </row>
    <row r="27" spans="2:5" x14ac:dyDescent="0.35">
      <c r="D27" s="3"/>
    </row>
  </sheetData>
  <sortState xmlns:xlrd2="http://schemas.microsoft.com/office/spreadsheetml/2017/richdata2" ref="B11:E18">
    <sortCondition descending="1" ref="B11:B18"/>
  </sortState>
  <mergeCells count="2">
    <mergeCell ref="C2:K2"/>
    <mergeCell ref="C4:K4"/>
  </mergeCells>
  <pageMargins left="0.7" right="0.7" top="0.75" bottom="0.75" header="0.3" footer="0.3"/>
  <ignoredErrors>
    <ignoredError sqref="D25" evalError="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030A0"/>
  </sheetPr>
  <dimension ref="B2:K45"/>
  <sheetViews>
    <sheetView topLeftCell="A14" zoomScale="160" zoomScaleNormal="160" workbookViewId="0">
      <selection activeCell="K25" sqref="K25"/>
    </sheetView>
  </sheetViews>
  <sheetFormatPr defaultColWidth="8.7265625" defaultRowHeight="14.5" x14ac:dyDescent="0.35"/>
  <cols>
    <col min="2" max="2" width="25.54296875" customWidth="1"/>
    <col min="3" max="3" width="11.81640625" bestFit="1" customWidth="1"/>
    <col min="4" max="4" width="12.453125" bestFit="1" customWidth="1"/>
    <col min="5" max="5" width="11" bestFit="1" customWidth="1"/>
  </cols>
  <sheetData>
    <row r="2" spans="2:11" ht="23.5" x14ac:dyDescent="0.55000000000000004">
      <c r="B2" s="51" t="s">
        <v>566</v>
      </c>
      <c r="C2" s="108" t="s">
        <v>581</v>
      </c>
      <c r="D2" s="108"/>
      <c r="E2" s="108"/>
      <c r="F2" s="108"/>
      <c r="G2" s="108"/>
      <c r="H2" s="108"/>
      <c r="I2" s="108"/>
      <c r="J2" s="108"/>
      <c r="K2" s="108"/>
    </row>
    <row r="3" spans="2:11" ht="29.5" customHeight="1" x14ac:dyDescent="0.55000000000000004">
      <c r="B3" s="51"/>
    </row>
    <row r="5" spans="2:11" ht="374.5" customHeight="1" x14ac:dyDescent="0.35">
      <c r="B5" s="70" t="s">
        <v>557</v>
      </c>
      <c r="C5" s="106" t="s">
        <v>582</v>
      </c>
      <c r="D5" s="106"/>
      <c r="E5" s="106"/>
      <c r="F5" s="106"/>
      <c r="G5" s="106"/>
      <c r="H5" s="106"/>
      <c r="I5" s="106"/>
      <c r="J5" s="106"/>
      <c r="K5" s="106"/>
    </row>
    <row r="7" spans="2:11" ht="115" customHeight="1" x14ac:dyDescent="0.35">
      <c r="B7" s="98" t="s">
        <v>570</v>
      </c>
      <c r="C7" s="106" t="s">
        <v>583</v>
      </c>
      <c r="D7" s="106"/>
      <c r="E7" s="106"/>
      <c r="F7" s="106"/>
      <c r="G7" s="106"/>
      <c r="H7" s="106"/>
      <c r="I7" s="106"/>
      <c r="J7" s="106"/>
      <c r="K7" s="106"/>
    </row>
    <row r="9" spans="2:11" ht="82" customHeight="1" x14ac:dyDescent="0.35">
      <c r="B9" s="98" t="s">
        <v>190</v>
      </c>
      <c r="C9" s="109" t="s">
        <v>584</v>
      </c>
      <c r="D9" s="109"/>
      <c r="E9" s="109"/>
      <c r="F9" s="109"/>
      <c r="G9" s="109"/>
      <c r="H9" s="109"/>
      <c r="I9" s="109"/>
      <c r="J9" s="109"/>
      <c r="K9" s="109"/>
    </row>
    <row r="14" spans="2:11" x14ac:dyDescent="0.35">
      <c r="B14" s="101" t="s">
        <v>160</v>
      </c>
    </row>
    <row r="15" spans="2:11" x14ac:dyDescent="0.35">
      <c r="B15" s="2" t="s">
        <v>151</v>
      </c>
      <c r="C15" s="2" t="s">
        <v>150</v>
      </c>
      <c r="D15" s="2" t="s">
        <v>152</v>
      </c>
      <c r="E15" s="2" t="s">
        <v>153</v>
      </c>
    </row>
    <row r="16" spans="2:11" x14ac:dyDescent="0.35">
      <c r="B16" s="26">
        <v>0</v>
      </c>
      <c r="C16" s="26">
        <v>325</v>
      </c>
      <c r="D16" s="26">
        <v>0</v>
      </c>
      <c r="E16" s="27">
        <v>0</v>
      </c>
    </row>
    <row r="17" spans="2:5" x14ac:dyDescent="0.35">
      <c r="B17" s="26">
        <v>325</v>
      </c>
      <c r="C17" s="26">
        <v>1023</v>
      </c>
      <c r="D17" s="26">
        <v>0</v>
      </c>
      <c r="E17" s="27">
        <v>0.1</v>
      </c>
    </row>
    <row r="18" spans="2:5" x14ac:dyDescent="0.35">
      <c r="B18" s="26">
        <v>1023</v>
      </c>
      <c r="C18" s="26">
        <v>3163</v>
      </c>
      <c r="D18" s="3">
        <v>69.8</v>
      </c>
      <c r="E18" s="27">
        <v>0.15</v>
      </c>
    </row>
    <row r="19" spans="2:5" x14ac:dyDescent="0.35">
      <c r="B19" s="26">
        <v>3163</v>
      </c>
      <c r="C19" s="26">
        <v>6050</v>
      </c>
      <c r="D19" s="3">
        <v>390.8</v>
      </c>
      <c r="E19" s="27">
        <v>0.25</v>
      </c>
    </row>
    <row r="20" spans="2:5" x14ac:dyDescent="0.35">
      <c r="B20" s="26">
        <v>6050</v>
      </c>
      <c r="C20" s="26">
        <v>9050</v>
      </c>
      <c r="D20" s="3">
        <v>1112.56</v>
      </c>
      <c r="E20" s="27">
        <v>0.28000000000000003</v>
      </c>
    </row>
    <row r="21" spans="2:5" x14ac:dyDescent="0.35">
      <c r="B21" s="26">
        <v>9050</v>
      </c>
      <c r="C21" s="26">
        <v>15906</v>
      </c>
      <c r="D21" s="3">
        <v>195.56</v>
      </c>
      <c r="E21" s="27">
        <v>0.33</v>
      </c>
    </row>
    <row r="22" spans="2:5" x14ac:dyDescent="0.35">
      <c r="B22" s="26">
        <v>15906</v>
      </c>
      <c r="C22" s="26">
        <v>17925</v>
      </c>
      <c r="D22" s="3">
        <v>4215.03</v>
      </c>
      <c r="E22" s="27">
        <v>0.35</v>
      </c>
    </row>
    <row r="23" spans="2:5" x14ac:dyDescent="0.35">
      <c r="B23" s="26">
        <v>17925</v>
      </c>
      <c r="C23" s="26"/>
      <c r="D23" s="3">
        <v>4921.68</v>
      </c>
      <c r="E23" s="27">
        <v>0.39600000000000002</v>
      </c>
    </row>
    <row r="25" spans="2:5" x14ac:dyDescent="0.35">
      <c r="B25" s="101" t="s">
        <v>159</v>
      </c>
    </row>
    <row r="26" spans="2:5" x14ac:dyDescent="0.35">
      <c r="B26" s="2" t="s">
        <v>151</v>
      </c>
      <c r="C26" s="2" t="s">
        <v>150</v>
      </c>
      <c r="D26" s="2" t="s">
        <v>152</v>
      </c>
      <c r="E26" s="2" t="s">
        <v>153</v>
      </c>
    </row>
    <row r="27" spans="2:5" x14ac:dyDescent="0.35">
      <c r="B27" s="26">
        <v>0</v>
      </c>
      <c r="C27" s="26">
        <v>87</v>
      </c>
      <c r="D27" s="26">
        <v>0</v>
      </c>
      <c r="E27" s="27">
        <v>0</v>
      </c>
    </row>
    <row r="28" spans="2:5" x14ac:dyDescent="0.35">
      <c r="B28" s="26">
        <v>87</v>
      </c>
      <c r="C28" s="26">
        <v>436</v>
      </c>
      <c r="D28" s="26">
        <v>0</v>
      </c>
      <c r="E28" s="27">
        <v>0.1</v>
      </c>
    </row>
    <row r="29" spans="2:5" x14ac:dyDescent="0.35">
      <c r="B29" s="26">
        <v>436</v>
      </c>
      <c r="C29" s="26">
        <v>1506</v>
      </c>
      <c r="D29" s="3">
        <v>34.9</v>
      </c>
      <c r="E29" s="27">
        <v>0.15</v>
      </c>
    </row>
    <row r="30" spans="2:5" x14ac:dyDescent="0.35">
      <c r="B30" s="26">
        <v>1506</v>
      </c>
      <c r="C30" s="26">
        <v>3523</v>
      </c>
      <c r="D30" s="3">
        <v>195.4</v>
      </c>
      <c r="E30" s="27">
        <v>0.25</v>
      </c>
    </row>
    <row r="31" spans="2:5" x14ac:dyDescent="0.35">
      <c r="B31" s="26">
        <v>3523</v>
      </c>
      <c r="C31" s="26">
        <v>7254</v>
      </c>
      <c r="D31" s="3">
        <v>699.65</v>
      </c>
      <c r="E31" s="27">
        <v>0.28000000000000003</v>
      </c>
    </row>
    <row r="32" spans="2:5" x14ac:dyDescent="0.35">
      <c r="B32" s="26">
        <v>7254</v>
      </c>
      <c r="C32" s="26">
        <v>15667</v>
      </c>
      <c r="D32" s="3">
        <v>1744.33</v>
      </c>
      <c r="E32" s="27">
        <v>0.33</v>
      </c>
    </row>
    <row r="33" spans="2:5" x14ac:dyDescent="0.35">
      <c r="B33" s="26">
        <v>15667</v>
      </c>
      <c r="C33" s="26">
        <v>15731</v>
      </c>
      <c r="D33" s="3">
        <v>4520.62</v>
      </c>
      <c r="E33" s="27">
        <v>0.35</v>
      </c>
    </row>
    <row r="34" spans="2:5" x14ac:dyDescent="0.35">
      <c r="B34" s="26">
        <v>15731</v>
      </c>
      <c r="C34" s="26"/>
      <c r="D34" s="3">
        <v>4543.0200000000004</v>
      </c>
      <c r="E34" s="27">
        <v>0.39600000000000002</v>
      </c>
    </row>
    <row r="37" spans="2:5" x14ac:dyDescent="0.35">
      <c r="C37" s="22" t="s">
        <v>161</v>
      </c>
      <c r="D37" s="25" t="s">
        <v>162</v>
      </c>
    </row>
    <row r="38" spans="2:5" x14ac:dyDescent="0.35">
      <c r="C38" s="22" t="s">
        <v>154</v>
      </c>
      <c r="D38" s="3">
        <f>ROUND(105000/26,2)</f>
        <v>4038.46</v>
      </c>
    </row>
    <row r="39" spans="2:5" x14ac:dyDescent="0.35">
      <c r="C39" s="22" t="s">
        <v>157</v>
      </c>
      <c r="D39" s="26">
        <v>3</v>
      </c>
    </row>
    <row r="40" spans="2:5" x14ac:dyDescent="0.35">
      <c r="C40" s="22" t="s">
        <v>155</v>
      </c>
      <c r="D40" s="3">
        <f>D39*151.9</f>
        <v>455.70000000000005</v>
      </c>
    </row>
    <row r="41" spans="2:5" x14ac:dyDescent="0.35">
      <c r="C41" s="22" t="s">
        <v>156</v>
      </c>
      <c r="D41" s="3">
        <f>D38-D40</f>
        <v>3582.76</v>
      </c>
    </row>
    <row r="42" spans="2:5" x14ac:dyDescent="0.35">
      <c r="C42" s="22" t="s">
        <v>158</v>
      </c>
      <c r="D42" s="102">
        <f ca="1">VLOOKUP(D41,INDIRECT(D37),3,TRUE)+(D41-VLOOKUP(D41,INDIRECT(D37),1,TRUE))*VLOOKUP(D41,INDIRECT(D37),4,TRUE)</f>
        <v>716.38280000000009</v>
      </c>
    </row>
    <row r="44" spans="2:5" x14ac:dyDescent="0.35">
      <c r="D44" s="3"/>
    </row>
    <row r="45" spans="2:5" x14ac:dyDescent="0.35">
      <c r="D45" s="3"/>
    </row>
  </sheetData>
  <mergeCells count="4">
    <mergeCell ref="C7:K7"/>
    <mergeCell ref="C9:K9"/>
    <mergeCell ref="C2:K2"/>
    <mergeCell ref="C5:K5"/>
  </mergeCells>
  <dataValidations disablePrompts="1" count="1">
    <dataValidation type="list" allowBlank="1" showInputMessage="1" showErrorMessage="1" sqref="D37" xr:uid="{00000000-0002-0000-0700-000000000000}">
      <formula1>"Married, Single"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030A0"/>
  </sheetPr>
  <dimension ref="B2:K20"/>
  <sheetViews>
    <sheetView zoomScale="130" zoomScaleNormal="130" workbookViewId="0">
      <selection activeCell="P26" sqref="P26"/>
    </sheetView>
  </sheetViews>
  <sheetFormatPr defaultColWidth="8.7265625" defaultRowHeight="14.5" x14ac:dyDescent="0.35"/>
  <cols>
    <col min="2" max="2" width="26.36328125" customWidth="1"/>
    <col min="3" max="6" width="12.7265625" customWidth="1"/>
    <col min="7" max="7" width="11.54296875" bestFit="1" customWidth="1"/>
  </cols>
  <sheetData>
    <row r="2" spans="2:11" ht="95" customHeight="1" x14ac:dyDescent="0.35">
      <c r="B2" s="98" t="s">
        <v>570</v>
      </c>
      <c r="C2" s="106" t="s">
        <v>585</v>
      </c>
      <c r="D2" s="106"/>
      <c r="E2" s="106"/>
      <c r="F2" s="106"/>
      <c r="G2" s="106"/>
      <c r="H2" s="106"/>
      <c r="I2" s="106"/>
      <c r="J2" s="106"/>
      <c r="K2" s="106"/>
    </row>
    <row r="4" spans="2:11" ht="44.5" customHeight="1" x14ac:dyDescent="0.35">
      <c r="B4" s="98" t="s">
        <v>190</v>
      </c>
      <c r="C4" s="109" t="s">
        <v>586</v>
      </c>
      <c r="D4" s="109"/>
      <c r="E4" s="109"/>
      <c r="F4" s="109"/>
      <c r="G4" s="109"/>
      <c r="H4" s="109"/>
      <c r="I4" s="109"/>
      <c r="J4" s="109"/>
      <c r="K4" s="109"/>
    </row>
    <row r="7" spans="2:11" x14ac:dyDescent="0.35">
      <c r="B7" s="28" t="s">
        <v>164</v>
      </c>
    </row>
    <row r="8" spans="2:11" x14ac:dyDescent="0.35">
      <c r="B8" s="2" t="s">
        <v>163</v>
      </c>
      <c r="C8" s="2">
        <v>2010</v>
      </c>
      <c r="D8" s="2">
        <v>2011</v>
      </c>
      <c r="E8" s="2">
        <v>2012</v>
      </c>
      <c r="F8" s="2">
        <v>2013</v>
      </c>
      <c r="G8" s="2" t="s">
        <v>22</v>
      </c>
    </row>
    <row r="9" spans="2:11" x14ac:dyDescent="0.35">
      <c r="B9" t="s">
        <v>165</v>
      </c>
      <c r="C9" s="26">
        <v>1525017</v>
      </c>
      <c r="D9" s="26">
        <v>1504678</v>
      </c>
      <c r="E9" s="26">
        <v>1227847</v>
      </c>
      <c r="F9" s="26">
        <v>1019616</v>
      </c>
      <c r="G9" s="26">
        <f>SUM(C9:F9)</f>
        <v>5277158</v>
      </c>
    </row>
    <row r="10" spans="2:11" x14ac:dyDescent="0.35">
      <c r="B10" t="s">
        <v>168</v>
      </c>
      <c r="C10" s="26">
        <v>2704237</v>
      </c>
      <c r="D10" s="26">
        <v>2135564</v>
      </c>
      <c r="E10" s="26">
        <v>1411782</v>
      </c>
      <c r="F10" s="26">
        <v>716535</v>
      </c>
      <c r="G10" s="26">
        <f t="shared" ref="G10:G14" si="0">SUM(C10:F10)</f>
        <v>6968118</v>
      </c>
    </row>
    <row r="11" spans="2:11" x14ac:dyDescent="0.35">
      <c r="B11" t="s">
        <v>166</v>
      </c>
      <c r="C11" s="26">
        <v>3563687</v>
      </c>
      <c r="D11" s="26">
        <v>4441886</v>
      </c>
      <c r="E11" s="26">
        <v>4805431</v>
      </c>
      <c r="F11" s="26">
        <v>3716674</v>
      </c>
      <c r="G11" s="26">
        <f t="shared" si="0"/>
        <v>16527678</v>
      </c>
    </row>
    <row r="12" spans="2:11" x14ac:dyDescent="0.35">
      <c r="B12" t="s">
        <v>167</v>
      </c>
      <c r="C12" s="26">
        <v>4489700</v>
      </c>
      <c r="D12" s="26">
        <v>2651064</v>
      </c>
      <c r="E12" s="26">
        <v>796330</v>
      </c>
      <c r="F12" s="26">
        <v>2898601</v>
      </c>
      <c r="G12" s="26">
        <f t="shared" si="0"/>
        <v>10835695</v>
      </c>
    </row>
    <row r="13" spans="2:11" x14ac:dyDescent="0.35">
      <c r="B13" t="s">
        <v>169</v>
      </c>
      <c r="C13" s="26">
        <v>2167319</v>
      </c>
      <c r="D13" s="26">
        <v>1357850</v>
      </c>
      <c r="E13" s="26">
        <v>776850</v>
      </c>
      <c r="F13" s="26">
        <v>3024542</v>
      </c>
      <c r="G13" s="26">
        <f t="shared" si="0"/>
        <v>7326561</v>
      </c>
    </row>
    <row r="14" spans="2:11" x14ac:dyDescent="0.35">
      <c r="B14" t="s">
        <v>170</v>
      </c>
      <c r="C14" s="26">
        <v>1861239</v>
      </c>
      <c r="D14" s="26">
        <v>3578280</v>
      </c>
      <c r="E14" s="26">
        <v>4069389</v>
      </c>
      <c r="F14" s="26">
        <v>1475301</v>
      </c>
      <c r="G14" s="26">
        <f t="shared" si="0"/>
        <v>10984209</v>
      </c>
    </row>
    <row r="15" spans="2:11" ht="15" thickBot="1" x14ac:dyDescent="0.4">
      <c r="B15" t="s">
        <v>22</v>
      </c>
      <c r="C15" s="30">
        <f>SUM(C9:C14)</f>
        <v>16311199</v>
      </c>
      <c r="D15" s="30">
        <f t="shared" ref="D15:G15" si="1">SUM(D9:D14)</f>
        <v>15669322</v>
      </c>
      <c r="E15" s="30">
        <f t="shared" si="1"/>
        <v>13087629</v>
      </c>
      <c r="F15" s="30">
        <f t="shared" si="1"/>
        <v>12851269</v>
      </c>
      <c r="G15" s="30">
        <f t="shared" si="1"/>
        <v>57919419</v>
      </c>
    </row>
    <row r="16" spans="2:11" ht="15" thickTop="1" x14ac:dyDescent="0.35">
      <c r="C16" s="26"/>
      <c r="D16" s="26"/>
      <c r="E16" s="26"/>
      <c r="F16" s="26"/>
    </row>
    <row r="18" spans="2:3" x14ac:dyDescent="0.35">
      <c r="B18" s="22" t="s">
        <v>171</v>
      </c>
      <c r="C18" s="29" t="s">
        <v>166</v>
      </c>
    </row>
    <row r="19" spans="2:3" x14ac:dyDescent="0.35">
      <c r="B19" s="22" t="s">
        <v>172</v>
      </c>
      <c r="C19" s="103">
        <v>2011</v>
      </c>
    </row>
    <row r="20" spans="2:3" x14ac:dyDescent="0.35">
      <c r="B20" s="22" t="s">
        <v>173</v>
      </c>
      <c r="C20" s="104">
        <f>INDEX(C9:F14,MATCH(C18,B9:B14,FALSE),MATCH(C19,C8:F8,FALSE))</f>
        <v>4441886</v>
      </c>
    </row>
  </sheetData>
  <mergeCells count="2">
    <mergeCell ref="C2:K2"/>
    <mergeCell ref="C4:K4"/>
  </mergeCells>
  <dataValidations count="2">
    <dataValidation type="list" allowBlank="1" showInputMessage="1" showErrorMessage="1" sqref="C18" xr:uid="{00000000-0002-0000-0800-000000000000}">
      <formula1>$B$9:$B$14</formula1>
    </dataValidation>
    <dataValidation type="list" allowBlank="1" showInputMessage="1" showErrorMessage="1" sqref="C19" xr:uid="{00000000-0002-0000-0800-000001000000}">
      <formula1>$C$8:$F$8</formula1>
    </dataValidation>
  </dataValidations>
  <pageMargins left="0.7" right="0.7" top="0.75" bottom="0.75" header="0.3" footer="0.3"/>
  <ignoredErrors>
    <ignoredError sqref="C15 D15:F15"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tabColor theme="9"/>
  </sheetPr>
  <dimension ref="B2:K27"/>
  <sheetViews>
    <sheetView zoomScale="130" zoomScaleNormal="130" workbookViewId="0">
      <selection activeCell="J19" sqref="J19"/>
    </sheetView>
  </sheetViews>
  <sheetFormatPr defaultColWidth="8.7265625" defaultRowHeight="14.5" x14ac:dyDescent="0.35"/>
  <cols>
    <col min="1" max="1" width="5.26953125" customWidth="1"/>
    <col min="2" max="2" width="29" customWidth="1"/>
    <col min="3" max="3" width="7.7265625" bestFit="1" customWidth="1"/>
    <col min="4" max="4" width="12.26953125" bestFit="1" customWidth="1"/>
    <col min="5" max="5" width="4.1796875" customWidth="1"/>
    <col min="6" max="6" width="28.1796875" customWidth="1"/>
    <col min="7" max="7" width="10.81640625" bestFit="1" customWidth="1"/>
  </cols>
  <sheetData>
    <row r="2" spans="2:11" ht="103" customHeight="1" x14ac:dyDescent="0.35">
      <c r="B2" s="98" t="s">
        <v>570</v>
      </c>
      <c r="C2" s="106" t="s">
        <v>589</v>
      </c>
      <c r="D2" s="106"/>
      <c r="E2" s="106"/>
      <c r="F2" s="106"/>
      <c r="G2" s="106"/>
      <c r="H2" s="106"/>
      <c r="I2" s="106"/>
      <c r="J2" s="106"/>
      <c r="K2" s="106"/>
    </row>
    <row r="4" spans="2:11" ht="73" customHeight="1" x14ac:dyDescent="0.35">
      <c r="B4" s="98" t="s">
        <v>190</v>
      </c>
      <c r="C4" s="109" t="s">
        <v>588</v>
      </c>
      <c r="D4" s="109"/>
      <c r="E4" s="109"/>
      <c r="F4" s="109"/>
      <c r="G4" s="109"/>
      <c r="H4" s="109"/>
      <c r="I4" s="109"/>
      <c r="J4" s="109"/>
      <c r="K4" s="109"/>
    </row>
    <row r="5" spans="2:11" x14ac:dyDescent="0.35">
      <c r="C5" s="105" t="s">
        <v>587</v>
      </c>
    </row>
    <row r="12" spans="2:11" x14ac:dyDescent="0.35">
      <c r="B12" s="2" t="s">
        <v>175</v>
      </c>
      <c r="C12" s="2" t="s">
        <v>176</v>
      </c>
      <c r="D12" s="2" t="s">
        <v>174</v>
      </c>
      <c r="G12" s="2" t="s">
        <v>177</v>
      </c>
    </row>
    <row r="13" spans="2:11" x14ac:dyDescent="0.35">
      <c r="B13" s="32">
        <v>41854</v>
      </c>
      <c r="C13">
        <v>421</v>
      </c>
      <c r="D13" s="3">
        <v>179.69</v>
      </c>
      <c r="G13" t="s">
        <v>178</v>
      </c>
    </row>
    <row r="14" spans="2:11" x14ac:dyDescent="0.35">
      <c r="B14" s="32">
        <v>41862</v>
      </c>
      <c r="C14">
        <v>352</v>
      </c>
      <c r="D14" s="3">
        <v>445.41</v>
      </c>
      <c r="G14" t="s">
        <v>179</v>
      </c>
    </row>
    <row r="15" spans="2:11" x14ac:dyDescent="0.35">
      <c r="B15" s="32">
        <v>41852</v>
      </c>
      <c r="C15">
        <v>325</v>
      </c>
      <c r="D15" s="3">
        <v>653.09</v>
      </c>
      <c r="G15" t="s">
        <v>180</v>
      </c>
    </row>
    <row r="16" spans="2:11" x14ac:dyDescent="0.35">
      <c r="B16" s="32">
        <v>41862</v>
      </c>
      <c r="C16">
        <v>512</v>
      </c>
      <c r="D16" s="3">
        <v>173.59</v>
      </c>
    </row>
    <row r="17" spans="2:7" x14ac:dyDescent="0.35">
      <c r="B17" s="32">
        <v>41853</v>
      </c>
      <c r="C17">
        <v>666</v>
      </c>
      <c r="D17" s="3">
        <v>136.41999999999999</v>
      </c>
      <c r="F17" s="22" t="s">
        <v>181</v>
      </c>
      <c r="G17" s="31" t="s">
        <v>179</v>
      </c>
    </row>
    <row r="18" spans="2:7" x14ac:dyDescent="0.35">
      <c r="B18" s="32">
        <v>41869</v>
      </c>
      <c r="C18">
        <v>759</v>
      </c>
      <c r="D18" s="3">
        <v>285.48</v>
      </c>
    </row>
    <row r="19" spans="2:7" x14ac:dyDescent="0.35">
      <c r="B19" s="32">
        <v>41863</v>
      </c>
      <c r="C19">
        <v>353</v>
      </c>
      <c r="D19" s="3">
        <v>233.02</v>
      </c>
      <c r="F19" s="22" t="str">
        <f>"The "&amp;G17&amp;" is:"</f>
        <v>The Count is:</v>
      </c>
      <c r="G19" s="33">
        <f>CHOOSE(MATCH(G17,G13:G15,FALSE),SUM(D13:D27),COUNT(D13:D27),AVERAGE(D13:D27))</f>
        <v>15</v>
      </c>
    </row>
    <row r="20" spans="2:7" x14ac:dyDescent="0.35">
      <c r="B20" s="32">
        <v>41879</v>
      </c>
      <c r="C20">
        <v>400</v>
      </c>
      <c r="D20" s="3">
        <v>599.24</v>
      </c>
    </row>
    <row r="21" spans="2:7" x14ac:dyDescent="0.35">
      <c r="B21" s="32">
        <v>41864</v>
      </c>
      <c r="C21">
        <v>539</v>
      </c>
      <c r="D21" s="3">
        <v>564.32000000000005</v>
      </c>
      <c r="F21" s="22" t="str">
        <f>"The "&amp;G17&amp;" is:"&amp;" (SUBTOTAL)"</f>
        <v>The Count is: (SUBTOTAL)</v>
      </c>
      <c r="G21" s="33">
        <f>SUBTOTAL(CHOOSE(MATCH(G17,G13:G15,FALSE),9,2,1),D13:D27)</f>
        <v>15</v>
      </c>
    </row>
    <row r="22" spans="2:7" x14ac:dyDescent="0.35">
      <c r="B22" s="32">
        <v>41864</v>
      </c>
      <c r="C22">
        <v>548</v>
      </c>
      <c r="D22" s="3">
        <v>253.34</v>
      </c>
    </row>
    <row r="23" spans="2:7" x14ac:dyDescent="0.35">
      <c r="B23" s="32">
        <v>41880</v>
      </c>
      <c r="C23">
        <v>414</v>
      </c>
      <c r="D23" s="3">
        <v>501.22</v>
      </c>
    </row>
    <row r="24" spans="2:7" x14ac:dyDescent="0.35">
      <c r="B24" s="32">
        <v>41865</v>
      </c>
      <c r="C24">
        <v>411</v>
      </c>
      <c r="D24" s="3">
        <v>396.67</v>
      </c>
    </row>
    <row r="25" spans="2:7" x14ac:dyDescent="0.35">
      <c r="B25" s="32">
        <v>41860</v>
      </c>
      <c r="C25">
        <v>721</v>
      </c>
      <c r="D25" s="3">
        <v>471.73</v>
      </c>
    </row>
    <row r="26" spans="2:7" x14ac:dyDescent="0.35">
      <c r="B26" s="32">
        <v>41882</v>
      </c>
      <c r="C26">
        <v>784</v>
      </c>
      <c r="D26" s="3">
        <v>629.04</v>
      </c>
    </row>
    <row r="27" spans="2:7" x14ac:dyDescent="0.35">
      <c r="B27" s="32">
        <v>41881</v>
      </c>
      <c r="C27">
        <v>380</v>
      </c>
      <c r="D27" s="3">
        <v>625.12</v>
      </c>
    </row>
  </sheetData>
  <mergeCells count="2">
    <mergeCell ref="C2:K2"/>
    <mergeCell ref="C4:K4"/>
  </mergeCells>
  <dataValidations count="1">
    <dataValidation type="list" allowBlank="1" showInputMessage="1" showErrorMessage="1" sqref="G17" xr:uid="{00000000-0002-0000-0E00-000000000000}">
      <formula1>$G$13:$G$15</formula1>
    </dataValidation>
  </dataValidations>
  <hyperlinks>
    <hyperlink ref="C5" r:id="rId1" xr:uid="{2A8D23FD-30EE-4975-847F-40D20C0006A3}"/>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E4688-74A1-4265-AF75-6D4163FEC119}">
  <sheetPr codeName="Sheet19"/>
  <dimension ref="B3:C15"/>
  <sheetViews>
    <sheetView workbookViewId="0">
      <selection activeCell="H17" sqref="H17"/>
    </sheetView>
  </sheetViews>
  <sheetFormatPr defaultRowHeight="14.5" x14ac:dyDescent="0.35"/>
  <cols>
    <col min="2" max="2" width="16.81640625" customWidth="1"/>
    <col min="3" max="3" width="17" customWidth="1"/>
  </cols>
  <sheetData>
    <row r="3" spans="2:3" x14ac:dyDescent="0.35">
      <c r="B3" t="s">
        <v>544</v>
      </c>
      <c r="C3" t="s">
        <v>543</v>
      </c>
    </row>
    <row r="4" spans="2:3" x14ac:dyDescent="0.35">
      <c r="B4" s="25" t="s">
        <v>509</v>
      </c>
      <c r="C4" s="25">
        <v>1</v>
      </c>
    </row>
    <row r="5" spans="2:3" x14ac:dyDescent="0.35">
      <c r="B5" s="25" t="s">
        <v>508</v>
      </c>
      <c r="C5" s="25">
        <v>2</v>
      </c>
    </row>
    <row r="6" spans="2:3" x14ac:dyDescent="0.35">
      <c r="B6" s="25" t="s">
        <v>507</v>
      </c>
      <c r="C6" s="25">
        <v>3</v>
      </c>
    </row>
    <row r="7" spans="2:3" x14ac:dyDescent="0.35">
      <c r="B7" s="25" t="s">
        <v>506</v>
      </c>
      <c r="C7" s="25">
        <v>4</v>
      </c>
    </row>
    <row r="8" spans="2:3" x14ac:dyDescent="0.35">
      <c r="B8" s="25" t="s">
        <v>505</v>
      </c>
      <c r="C8" s="25">
        <v>5</v>
      </c>
    </row>
    <row r="9" spans="2:3" x14ac:dyDescent="0.35">
      <c r="B9" s="25" t="s">
        <v>504</v>
      </c>
      <c r="C9" s="25">
        <v>6</v>
      </c>
    </row>
    <row r="10" spans="2:3" x14ac:dyDescent="0.35">
      <c r="B10" s="25" t="s">
        <v>503</v>
      </c>
      <c r="C10" s="25">
        <v>7</v>
      </c>
    </row>
    <row r="11" spans="2:3" x14ac:dyDescent="0.35">
      <c r="B11" s="25" t="s">
        <v>545</v>
      </c>
      <c r="C11" s="25">
        <v>8</v>
      </c>
    </row>
    <row r="12" spans="2:3" x14ac:dyDescent="0.35">
      <c r="B12" s="25" t="s">
        <v>501</v>
      </c>
      <c r="C12" s="25">
        <v>9</v>
      </c>
    </row>
    <row r="13" spans="2:3" x14ac:dyDescent="0.35">
      <c r="B13" s="25" t="s">
        <v>500</v>
      </c>
      <c r="C13" s="25">
        <v>10</v>
      </c>
    </row>
    <row r="14" spans="2:3" x14ac:dyDescent="0.35">
      <c r="B14" s="25" t="s">
        <v>499</v>
      </c>
      <c r="C14" s="25">
        <v>11</v>
      </c>
    </row>
    <row r="15" spans="2:3" x14ac:dyDescent="0.35">
      <c r="B15" s="25" t="s">
        <v>498</v>
      </c>
      <c r="C15" s="25">
        <v>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4073E82C5C590418396DC255F0DC745" ma:contentTypeVersion="13" ma:contentTypeDescription="Crear nuevo documento." ma:contentTypeScope="" ma:versionID="7d5f230db50da0a02171c3e18d7897cf">
  <xsd:schema xmlns:xsd="http://www.w3.org/2001/XMLSchema" xmlns:xs="http://www.w3.org/2001/XMLSchema" xmlns:p="http://schemas.microsoft.com/office/2006/metadata/properties" xmlns:ns2="76c91d98-7809-481a-a1ac-bd62ec4f59fb" xmlns:ns3="85e6ab8e-cbd2-4a96-93f4-452498ebce46" targetNamespace="http://schemas.microsoft.com/office/2006/metadata/properties" ma:root="true" ma:fieldsID="9c40cd1b29989cc5d6495f5265c0bcf2" ns2:_="" ns3:_="">
    <xsd:import namespace="76c91d98-7809-481a-a1ac-bd62ec4f59fb"/>
    <xsd:import namespace="85e6ab8e-cbd2-4a96-93f4-452498ebce4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91d98-7809-481a-a1ac-bd62ec4f5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87da879-9240-4ca9-a76a-392843ffcf3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ab8e-cbd2-4a96-93f4-452498ebce4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42c2357-5418-49b8-991f-f5c8b07a19d6}" ma:internalName="TaxCatchAll" ma:showField="CatchAllData" ma:web="85e6ab8e-cbd2-4a96-93f4-452498ebce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C29B8D-FF05-4F7D-91B2-44E698405A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c91d98-7809-481a-a1ac-bd62ec4f59fb"/>
    <ds:schemaRef ds:uri="85e6ab8e-cbd2-4a96-93f4-452498ebce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4473C1-5586-4A84-8056-8E3B0216E9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Content</vt:lpstr>
      <vt:lpstr>Exercise1_SOLVED</vt:lpstr>
      <vt:lpstr>VLOOKUP Limitation</vt:lpstr>
      <vt:lpstr>INDEX and MATCH Functons</vt:lpstr>
      <vt:lpstr>Exercise2_SOLVED</vt:lpstr>
      <vt:lpstr>LOOKUP Function</vt:lpstr>
      <vt:lpstr>Exercise3_SOLVED</vt:lpstr>
      <vt:lpstr>Exercise4_SOLVED</vt:lpstr>
      <vt:lpstr>Exercise5_SOLVED</vt:lpstr>
      <vt:lpstr>Exercise6_SOLVED</vt:lpstr>
      <vt:lpstr>INDIRECT Function</vt:lpstr>
      <vt:lpstr>Exercise7_SOLVED</vt:lpstr>
      <vt:lpstr>Exercise8_SOLVED</vt:lpstr>
      <vt:lpstr>Lists</vt:lpstr>
      <vt:lpstr>Married</vt:lpstr>
      <vt:lpstr>Single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Dick Kusleika</dc:creator>
  <cp:lastModifiedBy>Xavier Hernanz</cp:lastModifiedBy>
  <dcterms:created xsi:type="dcterms:W3CDTF">2013-10-28T00:19:55Z</dcterms:created>
  <dcterms:modified xsi:type="dcterms:W3CDTF">2023-08-12T10:01:22Z</dcterms:modified>
</cp:coreProperties>
</file>